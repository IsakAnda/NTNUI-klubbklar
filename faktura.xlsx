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.11.2026" sheetId="1" state="visible" r:id="rId1"/>
    <sheet name="15.9.2026" sheetId="2" state="visible" r:id="rId2"/>
    <sheet name="15.10.2026" sheetId="3" state="visible" r:id="rId3"/>
    <sheet name="01-01-202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6"/>
    </font>
  </fonts>
  <fills count="5">
    <fill>
      <patternFill/>
    </fill>
    <fill>
      <patternFill patternType="gray125"/>
    </fill>
    <fill>
      <patternFill patternType="solid">
        <fgColor rgb="00FFE599"/>
      </patternFill>
    </fill>
    <fill>
      <patternFill patternType="solid">
        <fgColor rgb="00FFF2CC"/>
      </patternFill>
    </fill>
    <fill>
      <patternFill patternType="solid">
        <fgColor rgb="0093C47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4" borderId="0" pivotButton="0" quotePrefix="0" xfId="0"/>
    <xf numFmtId="0" fontId="1" fillId="4" borderId="1" applyAlignment="1" pivotButton="0" quotePrefix="0" xfId="0">
      <alignment horizontal="center" vertical="top"/>
    </xf>
    <xf numFmtId="0" fontId="1" fillId="4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Bestillingsskjema NTNUI Volleyball</t>
        </is>
      </c>
    </row>
    <row r="2">
      <c r="A2" s="2" t="inlineStr">
        <is>
          <t>Lag</t>
        </is>
      </c>
      <c r="B2" s="2" t="inlineStr">
        <is>
          <t>Navn</t>
        </is>
      </c>
      <c r="C2" s="2" t="inlineStr">
        <is>
          <t>Produkt</t>
        </is>
      </c>
      <c r="D2" s="2" t="inlineStr">
        <is>
          <t>Trykk?</t>
        </is>
      </c>
      <c r="E2" s="2" t="inlineStr">
        <is>
          <t>Trenerrabatt</t>
        </is>
      </c>
      <c r="F2" s="2" t="inlineStr">
        <is>
          <t>Kostnad enkelt produkt</t>
        </is>
      </c>
      <c r="G2" s="2" t="inlineStr">
        <is>
          <t>Kostnad enkelt personer</t>
        </is>
      </c>
      <c r="H2" s="2" t="inlineStr">
        <is>
          <t>Totalt per lag</t>
        </is>
      </c>
      <c r="I2" s="2" t="inlineStr">
        <is>
          <t>Kommmentar</t>
        </is>
      </c>
    </row>
    <row r="3">
      <c r="A3" s="3" t="inlineStr">
        <is>
          <t>H-ELITE</t>
        </is>
      </c>
      <c r="B3" s="4" t="inlineStr">
        <is>
          <t>Daniel Klopstad</t>
        </is>
      </c>
      <c r="C3" s="4" t="inlineStr">
        <is>
          <t>Oppvarmingsgenser</t>
        </is>
      </c>
      <c r="D3" s="4" t="inlineStr"/>
      <c r="E3" s="4" t="inlineStr"/>
      <c r="F3" s="4" t="n">
        <v>351</v>
      </c>
      <c r="G3" s="4">
        <f>SUM(f2:f10)</f>
        <v/>
      </c>
      <c r="H3" s="4">
        <f>SUM(g2:g39)</f>
        <v/>
      </c>
      <c r="I3" s="4" t="inlineStr"/>
    </row>
    <row r="4">
      <c r="C4" s="4" t="inlineStr">
        <is>
          <t>Shorts (herre)</t>
        </is>
      </c>
      <c r="D4" s="4" t="inlineStr"/>
      <c r="E4" s="4" t="inlineStr"/>
      <c r="F4" s="4" t="n">
        <v>188</v>
      </c>
      <c r="I4" s="4" t="inlineStr"/>
    </row>
    <row r="5">
      <c r="C5" s="4" t="inlineStr">
        <is>
          <t>Shorts (herre)</t>
        </is>
      </c>
      <c r="D5" s="4" t="inlineStr"/>
      <c r="E5" s="4" t="inlineStr"/>
      <c r="F5" s="4" t="n">
        <v>188</v>
      </c>
      <c r="I5" s="4" t="inlineStr"/>
    </row>
    <row r="6">
      <c r="C6" s="4" t="inlineStr">
        <is>
          <t>Shorts (herre)</t>
        </is>
      </c>
      <c r="D6" s="4" t="inlineStr"/>
      <c r="E6" s="4" t="inlineStr"/>
      <c r="F6" s="4" t="n">
        <v>188</v>
      </c>
      <c r="I6" s="4" t="inlineStr"/>
    </row>
    <row r="7">
      <c r="C7" s="4" t="inlineStr">
        <is>
          <t>Tskjorte</t>
        </is>
      </c>
      <c r="D7" s="4" t="inlineStr"/>
      <c r="E7" s="4" t="inlineStr"/>
      <c r="F7" s="4" t="n">
        <v>196</v>
      </c>
      <c r="I7" s="4" t="inlineStr"/>
    </row>
    <row r="8">
      <c r="C8" s="4" t="inlineStr">
        <is>
          <t>Tskjorte</t>
        </is>
      </c>
      <c r="D8" s="4" t="inlineStr"/>
      <c r="E8" s="4" t="inlineStr"/>
      <c r="F8" s="4" t="n">
        <v>196</v>
      </c>
      <c r="I8" s="4" t="inlineStr"/>
    </row>
    <row r="9">
      <c r="C9" s="4" t="inlineStr">
        <is>
          <t>Tskjorte</t>
        </is>
      </c>
      <c r="D9" s="4" t="inlineStr"/>
      <c r="E9" s="4" t="inlineStr"/>
      <c r="F9" s="4" t="n">
        <v>196</v>
      </c>
      <c r="I9" s="4" t="inlineStr"/>
    </row>
    <row r="10">
      <c r="C10" s="4" t="inlineStr">
        <is>
          <t>Tskjorte</t>
        </is>
      </c>
      <c r="D10" s="4" t="inlineStr"/>
      <c r="E10" s="4" t="inlineStr"/>
      <c r="F10" s="4" t="n">
        <v>196</v>
      </c>
      <c r="I10" s="4" t="inlineStr"/>
    </row>
    <row r="11">
      <c r="C11" s="4" t="inlineStr">
        <is>
          <t>Tskjorte</t>
        </is>
      </c>
      <c r="D11" s="4" t="inlineStr"/>
      <c r="E11" s="4" t="inlineStr"/>
      <c r="F11" s="4" t="n">
        <v>196</v>
      </c>
      <c r="I11" s="4" t="inlineStr"/>
    </row>
    <row r="12">
      <c r="B12" s="4" t="inlineStr">
        <is>
          <t>Frithjof Moe Slinning</t>
        </is>
      </c>
      <c r="C12" s="4" t="inlineStr">
        <is>
          <t>Bag (38 L)</t>
        </is>
      </c>
      <c r="D12" s="4" t="inlineStr"/>
      <c r="E12" s="4" t="inlineStr"/>
      <c r="F12" s="4" t="n">
        <v>391</v>
      </c>
      <c r="G12" s="4">
        <f>SUM(f11:f17)</f>
        <v/>
      </c>
      <c r="I12" s="4" t="inlineStr"/>
    </row>
    <row r="13">
      <c r="C13" s="4" t="inlineStr">
        <is>
          <t>Hettejakke</t>
        </is>
      </c>
      <c r="D13" s="4" t="inlineStr">
        <is>
          <t>SLINNING</t>
        </is>
      </c>
      <c r="E13" s="4" t="n">
        <v>210</v>
      </c>
      <c r="F13" s="4" t="n">
        <v>243</v>
      </c>
      <c r="I13" s="4" t="inlineStr"/>
    </row>
    <row r="14">
      <c r="C14" s="4" t="inlineStr">
        <is>
          <t>Shorts (herre)</t>
        </is>
      </c>
      <c r="D14" s="4" t="inlineStr"/>
      <c r="E14" s="4" t="inlineStr"/>
      <c r="F14" s="4" t="n">
        <v>188</v>
      </c>
      <c r="I14" s="4" t="inlineStr"/>
    </row>
    <row r="15">
      <c r="C15" s="4" t="inlineStr">
        <is>
          <t>Shorts (herre)</t>
        </is>
      </c>
      <c r="D15" s="4" t="inlineStr"/>
      <c r="E15" s="4" t="inlineStr"/>
      <c r="F15" s="4" t="n">
        <v>188</v>
      </c>
      <c r="I15" s="4" t="inlineStr"/>
    </row>
    <row r="16">
      <c r="C16" s="4" t="inlineStr">
        <is>
          <t>Tskjorte</t>
        </is>
      </c>
      <c r="D16" s="4" t="inlineStr">
        <is>
          <t>SLINNING</t>
        </is>
      </c>
      <c r="E16" s="4" t="inlineStr"/>
      <c r="F16" s="4" t="n">
        <v>227</v>
      </c>
      <c r="I16" s="4" t="inlineStr">
        <is>
          <t>1 svart med navn, 1svart og 1 hvit uten navn</t>
        </is>
      </c>
    </row>
    <row r="17">
      <c r="C17" s="4" t="inlineStr">
        <is>
          <t>Tskjorte</t>
        </is>
      </c>
      <c r="D17" s="4" t="inlineStr">
        <is>
          <t>SLINNING</t>
        </is>
      </c>
      <c r="E17" s="4" t="inlineStr"/>
      <c r="F17" s="4" t="n">
        <v>227</v>
      </c>
      <c r="I17" s="4" t="inlineStr">
        <is>
          <t>1 svart med navn, 1svart og 1 hvit uten navn</t>
        </is>
      </c>
    </row>
    <row r="18">
      <c r="C18" s="4" t="inlineStr">
        <is>
          <t>Tskjorte</t>
        </is>
      </c>
      <c r="D18" s="4" t="inlineStr">
        <is>
          <t>SLINNING</t>
        </is>
      </c>
      <c r="E18" s="4" t="inlineStr"/>
      <c r="F18" s="4" t="n">
        <v>227</v>
      </c>
      <c r="I18" s="4" t="inlineStr">
        <is>
          <t>1 svart med navn, 1svart og 1 hvit uten navn</t>
        </is>
      </c>
    </row>
    <row r="19">
      <c r="B19" s="4" t="inlineStr">
        <is>
          <t>Jonas Dormagen-Taraldsrud</t>
        </is>
      </c>
      <c r="C19" s="4" t="inlineStr">
        <is>
          <t>Shorts (herre)</t>
        </is>
      </c>
      <c r="D19" s="4" t="inlineStr"/>
      <c r="E19" s="4" t="inlineStr"/>
      <c r="F19" s="4" t="n">
        <v>188</v>
      </c>
      <c r="G19" s="4">
        <f>SUM(f18:f20)</f>
        <v/>
      </c>
      <c r="I19" s="4" t="inlineStr"/>
    </row>
    <row r="20">
      <c r="C20" s="4" t="inlineStr">
        <is>
          <t>Tskjorte</t>
        </is>
      </c>
      <c r="D20" s="4" t="inlineStr"/>
      <c r="E20" s="4" t="inlineStr"/>
      <c r="F20" s="4" t="n">
        <v>196</v>
      </c>
      <c r="I20" s="4" t="inlineStr"/>
    </row>
    <row r="21">
      <c r="C21" s="4" t="inlineStr">
        <is>
          <t>Tskjorte</t>
        </is>
      </c>
      <c r="D21" s="4" t="inlineStr"/>
      <c r="E21" s="4" t="inlineStr"/>
      <c r="F21" s="4" t="n">
        <v>196</v>
      </c>
      <c r="I21" s="4" t="inlineStr"/>
    </row>
    <row r="22">
      <c r="B22" s="4" t="inlineStr">
        <is>
          <t>Kjell Eike Machalowsky</t>
        </is>
      </c>
      <c r="C22" s="4" t="inlineStr">
        <is>
          <t>Hettegenser</t>
        </is>
      </c>
      <c r="D22" s="4" t="inlineStr">
        <is>
          <t>MACHALOWSKY</t>
        </is>
      </c>
      <c r="E22" s="4" t="inlineStr"/>
      <c r="F22" s="4" t="n">
        <v>367</v>
      </c>
      <c r="G22" s="4">
        <f>SUM(f21:f25)</f>
        <v/>
      </c>
      <c r="I22" s="4" t="inlineStr"/>
    </row>
    <row r="23">
      <c r="C23" s="4" t="inlineStr">
        <is>
          <t>Shorts (herre)</t>
        </is>
      </c>
      <c r="D23" s="4" t="inlineStr"/>
      <c r="E23" s="4" t="inlineStr"/>
      <c r="F23" s="4" t="n">
        <v>188</v>
      </c>
      <c r="I23" s="4" t="inlineStr"/>
    </row>
    <row r="24">
      <c r="C24" s="4" t="inlineStr">
        <is>
          <t>Tskjorte</t>
        </is>
      </c>
      <c r="D24" s="4" t="inlineStr">
        <is>
          <t>MACHALOWSKY</t>
        </is>
      </c>
      <c r="E24" s="4" t="inlineStr"/>
      <c r="F24" s="4" t="n">
        <v>227</v>
      </c>
      <c r="I24" s="4" t="inlineStr">
        <is>
          <t>men's sizes</t>
        </is>
      </c>
    </row>
    <row r="25">
      <c r="C25" s="4" t="inlineStr">
        <is>
          <t>Tskjorte</t>
        </is>
      </c>
      <c r="D25" s="4" t="inlineStr">
        <is>
          <t>MACHALOWSKY</t>
        </is>
      </c>
      <c r="E25" s="4" t="inlineStr"/>
      <c r="F25" s="4" t="n">
        <v>227</v>
      </c>
      <c r="I25" s="4" t="inlineStr">
        <is>
          <t>men's sizes</t>
        </is>
      </c>
    </row>
    <row r="26">
      <c r="C26" s="4" t="inlineStr">
        <is>
          <t>Tynn genser (bomull)</t>
        </is>
      </c>
      <c r="D26" s="4" t="inlineStr"/>
      <c r="E26" s="4" t="inlineStr"/>
      <c r="F26" s="4" t="n">
        <v>193</v>
      </c>
      <c r="I26" s="4" t="inlineStr"/>
    </row>
    <row r="27">
      <c r="B27" s="4" t="inlineStr">
        <is>
          <t>Ludvik Mathias Grasdal</t>
        </is>
      </c>
      <c r="C27" s="4" t="inlineStr">
        <is>
          <t>Bag (38 L)</t>
        </is>
      </c>
      <c r="D27" s="4" t="inlineStr"/>
      <c r="E27" s="4" t="inlineStr"/>
      <c r="F27" s="4" t="n">
        <v>391</v>
      </c>
      <c r="G27" s="4">
        <f>SUM(f26:f33)</f>
        <v/>
      </c>
      <c r="I27" s="4" t="inlineStr"/>
    </row>
    <row r="28">
      <c r="C28" s="4" t="inlineStr">
        <is>
          <t>Half-zip</t>
        </is>
      </c>
      <c r="D28" s="4" t="inlineStr">
        <is>
          <t>Grasdal</t>
        </is>
      </c>
      <c r="E28" s="4" t="inlineStr"/>
      <c r="F28" s="4" t="n">
        <v>453</v>
      </c>
      <c r="I28" s="4" t="inlineStr"/>
    </row>
    <row r="29">
      <c r="C29" s="4" t="inlineStr">
        <is>
          <t>Hettejakke</t>
        </is>
      </c>
      <c r="D29" s="4" t="inlineStr">
        <is>
          <t>COACH</t>
        </is>
      </c>
      <c r="E29" s="4" t="n">
        <v>0</v>
      </c>
      <c r="F29" s="4" t="n">
        <v>453</v>
      </c>
      <c r="I29" s="4" t="inlineStr">
        <is>
          <t>Ludvik Mathias Grasdal er ikke trener?</t>
        </is>
      </c>
    </row>
    <row r="30">
      <c r="C30" s="4" t="inlineStr">
        <is>
          <t>Shorts (herre)</t>
        </is>
      </c>
      <c r="D30" s="4" t="inlineStr"/>
      <c r="E30" s="4" t="inlineStr"/>
      <c r="F30" s="4" t="n">
        <v>188</v>
      </c>
      <c r="I30" s="4" t="inlineStr"/>
    </row>
    <row r="31">
      <c r="C31" s="4" t="inlineStr">
        <is>
          <t>Shorts (herre)</t>
        </is>
      </c>
      <c r="D31" s="4" t="inlineStr"/>
      <c r="E31" s="4" t="inlineStr"/>
      <c r="F31" s="4" t="n">
        <v>188</v>
      </c>
      <c r="I31" s="4" t="inlineStr"/>
    </row>
    <row r="32">
      <c r="C32" s="4" t="inlineStr">
        <is>
          <t>Tskjorte</t>
        </is>
      </c>
      <c r="D32" s="4" t="inlineStr">
        <is>
          <t>GRASDAL</t>
        </is>
      </c>
      <c r="E32" s="4" t="inlineStr"/>
      <c r="F32" s="4" t="n">
        <v>227</v>
      </c>
      <c r="I32" s="4" t="inlineStr"/>
    </row>
    <row r="33">
      <c r="C33" s="4" t="inlineStr">
        <is>
          <t>Tskjorte</t>
        </is>
      </c>
      <c r="D33" s="4" t="inlineStr">
        <is>
          <t>GRASDAL</t>
        </is>
      </c>
      <c r="E33" s="4" t="inlineStr"/>
      <c r="F33" s="4" t="n">
        <v>227</v>
      </c>
      <c r="I33" s="4" t="inlineStr"/>
    </row>
    <row r="34">
      <c r="C34" s="4" t="inlineStr">
        <is>
          <t>Tskjorte</t>
        </is>
      </c>
      <c r="D34" s="4" t="inlineStr">
        <is>
          <t>GRASDAL</t>
        </is>
      </c>
      <c r="E34" s="4" t="inlineStr"/>
      <c r="F34" s="4" t="n">
        <v>227</v>
      </c>
      <c r="I34" s="4" t="inlineStr"/>
    </row>
    <row r="35">
      <c r="B35" s="4" t="inlineStr">
        <is>
          <t>Simon Klopstad</t>
        </is>
      </c>
      <c r="C35" s="4" t="inlineStr">
        <is>
          <t>Oppvarmingsgenser</t>
        </is>
      </c>
      <c r="D35" s="4" t="inlineStr">
        <is>
          <t>KLOPSTAD</t>
        </is>
      </c>
      <c r="E35" s="4" t="inlineStr"/>
      <c r="F35" s="4" t="n">
        <v>412</v>
      </c>
      <c r="G35" s="4">
        <f>SUM(f34:f34)</f>
        <v/>
      </c>
      <c r="I35" s="4" t="inlineStr"/>
    </row>
    <row r="36">
      <c r="B36" s="4" t="inlineStr">
        <is>
          <t>Weston Kirchman</t>
        </is>
      </c>
      <c r="C36" s="4" t="inlineStr">
        <is>
          <t>Crewneck</t>
        </is>
      </c>
      <c r="D36" s="4" t="inlineStr">
        <is>
          <t>KIRCHMAN</t>
        </is>
      </c>
      <c r="E36" s="4" t="inlineStr"/>
      <c r="F36" s="4" t="n">
        <v>335</v>
      </c>
      <c r="G36" s="4">
        <f>SUM(f35:f39)</f>
        <v/>
      </c>
      <c r="I36" s="4" t="inlineStr"/>
    </row>
    <row r="37">
      <c r="C37" s="4" t="inlineStr">
        <is>
          <t>Shorts (herre)</t>
        </is>
      </c>
      <c r="D37" s="4" t="inlineStr"/>
      <c r="E37" s="4" t="inlineStr"/>
      <c r="F37" s="4" t="n">
        <v>188</v>
      </c>
      <c r="I37" s="4" t="inlineStr"/>
    </row>
    <row r="38">
      <c r="C38" s="4" t="inlineStr">
        <is>
          <t>Shorts (herre)</t>
        </is>
      </c>
      <c r="D38" s="4" t="inlineStr"/>
      <c r="E38" s="4" t="inlineStr"/>
      <c r="F38" s="4" t="n">
        <v>188</v>
      </c>
      <c r="I38" s="4" t="inlineStr"/>
    </row>
    <row r="39">
      <c r="C39" s="4" t="inlineStr">
        <is>
          <t>Tskjorte</t>
        </is>
      </c>
      <c r="D39" s="4" t="inlineStr"/>
      <c r="E39" s="4" t="inlineStr"/>
      <c r="F39" s="4" t="n">
        <v>196</v>
      </c>
      <c r="I39" s="4" t="inlineStr"/>
    </row>
    <row r="40">
      <c r="C40" s="4" t="inlineStr">
        <is>
          <t>Tynn genser (bomull)</t>
        </is>
      </c>
      <c r="D40" s="4" t="inlineStr"/>
      <c r="E40" s="4" t="inlineStr"/>
      <c r="F40" s="4" t="n">
        <v>193</v>
      </c>
      <c r="I40" s="4" t="inlineStr"/>
    </row>
    <row r="41">
      <c r="A41" s="3" t="inlineStr">
        <is>
          <t>H1</t>
        </is>
      </c>
      <c r="B41" s="5" t="inlineStr">
        <is>
          <t>Ask Barø Lerfald</t>
        </is>
      </c>
      <c r="C41" s="5" t="inlineStr">
        <is>
          <t>Half-zip</t>
        </is>
      </c>
      <c r="D41" s="5" t="inlineStr">
        <is>
          <t>BARØ</t>
        </is>
      </c>
      <c r="E41" s="5" t="inlineStr"/>
      <c r="F41" s="5" t="n">
        <v>453</v>
      </c>
      <c r="G41" s="5">
        <f>SUM(f40:f53)</f>
        <v/>
      </c>
      <c r="H41" s="5">
        <f>SUM(g40:g74)</f>
        <v/>
      </c>
      <c r="I41" s="5" t="inlineStr"/>
    </row>
    <row r="42">
      <c r="C42" s="5" t="inlineStr">
        <is>
          <t>Hettejakke</t>
        </is>
      </c>
      <c r="D42" s="5" t="inlineStr">
        <is>
          <t>BARØ</t>
        </is>
      </c>
      <c r="E42" s="5" t="inlineStr"/>
      <c r="F42" s="5" t="n">
        <v>453</v>
      </c>
      <c r="I42" s="5" t="inlineStr"/>
    </row>
    <row r="43">
      <c r="C43" s="5" t="inlineStr">
        <is>
          <t>Joggebukse</t>
        </is>
      </c>
      <c r="D43" s="5" t="inlineStr"/>
      <c r="E43" s="5" t="inlineStr"/>
      <c r="F43" s="5" t="n">
        <v>279</v>
      </c>
      <c r="I43" s="5" t="inlineStr"/>
    </row>
    <row r="44">
      <c r="C44" s="5" t="inlineStr">
        <is>
          <t>Joggebukse</t>
        </is>
      </c>
      <c r="D44" s="5" t="inlineStr"/>
      <c r="E44" s="5" t="inlineStr"/>
      <c r="F44" s="5" t="n">
        <v>279</v>
      </c>
      <c r="I44" s="5" t="inlineStr"/>
    </row>
    <row r="45">
      <c r="C45" s="5" t="inlineStr">
        <is>
          <t>Joggebukse</t>
        </is>
      </c>
      <c r="D45" s="5" t="inlineStr"/>
      <c r="E45" s="5" t="inlineStr"/>
      <c r="F45" s="5" t="n">
        <v>279</v>
      </c>
      <c r="I45" s="5" t="inlineStr"/>
    </row>
    <row r="46">
      <c r="C46" s="5" t="inlineStr">
        <is>
          <t>Oppvarmingsgenser</t>
        </is>
      </c>
      <c r="D46" s="5" t="inlineStr">
        <is>
          <t>BARØ</t>
        </is>
      </c>
      <c r="E46" s="5" t="inlineStr"/>
      <c r="F46" s="5" t="n">
        <v>412</v>
      </c>
      <c r="I46" s="5" t="inlineStr"/>
    </row>
    <row r="47">
      <c r="C47" s="5" t="inlineStr">
        <is>
          <t>Oppvarmingsgenser</t>
        </is>
      </c>
      <c r="D47" s="5" t="inlineStr">
        <is>
          <t>BARØ</t>
        </is>
      </c>
      <c r="E47" s="5" t="inlineStr"/>
      <c r="F47" s="5" t="n">
        <v>412</v>
      </c>
      <c r="I47" s="5" t="inlineStr"/>
    </row>
    <row r="48">
      <c r="C48" s="5" t="inlineStr">
        <is>
          <t>Oppvarmingsgenser</t>
        </is>
      </c>
      <c r="D48" s="5" t="inlineStr">
        <is>
          <t>BARØ</t>
        </is>
      </c>
      <c r="E48" s="5" t="inlineStr"/>
      <c r="F48" s="5" t="n">
        <v>412</v>
      </c>
      <c r="I48" s="5" t="inlineStr"/>
    </row>
    <row r="49">
      <c r="C49" s="5" t="inlineStr">
        <is>
          <t>Shorts (herre)</t>
        </is>
      </c>
      <c r="D49" s="5" t="inlineStr"/>
      <c r="E49" s="5" t="inlineStr"/>
      <c r="F49" s="5" t="n">
        <v>188</v>
      </c>
      <c r="I49" s="5" t="inlineStr"/>
    </row>
    <row r="50">
      <c r="C50" s="5" t="inlineStr">
        <is>
          <t>Shorts (herre)</t>
        </is>
      </c>
      <c r="D50" s="5" t="inlineStr"/>
      <c r="E50" s="5" t="inlineStr"/>
      <c r="F50" s="5" t="n">
        <v>188</v>
      </c>
      <c r="I50" s="5" t="inlineStr"/>
    </row>
    <row r="51">
      <c r="C51" s="5" t="inlineStr">
        <is>
          <t>Tskjorte</t>
        </is>
      </c>
      <c r="D51" s="5" t="inlineStr">
        <is>
          <t>BARØ</t>
        </is>
      </c>
      <c r="E51" s="5" t="inlineStr"/>
      <c r="F51" s="5" t="n">
        <v>227</v>
      </c>
      <c r="I51" s="5" t="inlineStr"/>
    </row>
    <row r="52">
      <c r="C52" s="5" t="inlineStr">
        <is>
          <t>Tskjorte</t>
        </is>
      </c>
      <c r="D52" s="5" t="inlineStr">
        <is>
          <t>BARØ</t>
        </is>
      </c>
      <c r="E52" s="5" t="inlineStr"/>
      <c r="F52" s="5" t="n">
        <v>227</v>
      </c>
      <c r="I52" s="5" t="inlineStr"/>
    </row>
    <row r="53">
      <c r="C53" s="5" t="inlineStr">
        <is>
          <t>Tskjorte</t>
        </is>
      </c>
      <c r="D53" s="5" t="inlineStr">
        <is>
          <t>BARØ</t>
        </is>
      </c>
      <c r="E53" s="5" t="inlineStr"/>
      <c r="F53" s="5" t="n">
        <v>227</v>
      </c>
      <c r="I53" s="5" t="inlineStr"/>
    </row>
    <row r="54">
      <c r="C54" s="5" t="inlineStr">
        <is>
          <t>Tskjorte</t>
        </is>
      </c>
      <c r="D54" s="5" t="inlineStr">
        <is>
          <t>BARØ</t>
        </is>
      </c>
      <c r="E54" s="5" t="inlineStr"/>
      <c r="F54" s="5" t="n">
        <v>227</v>
      </c>
      <c r="I54" s="5" t="inlineStr"/>
    </row>
    <row r="55">
      <c r="B55" s="5" t="inlineStr">
        <is>
          <t>Chrisander lykke</t>
        </is>
      </c>
      <c r="C55" s="5" t="inlineStr">
        <is>
          <t>Shorts (herre)</t>
        </is>
      </c>
      <c r="D55" s="5" t="inlineStr"/>
      <c r="E55" s="5" t="inlineStr"/>
      <c r="F55" s="5" t="n">
        <v>188</v>
      </c>
      <c r="G55" s="5">
        <f>SUM(f54:f57)</f>
        <v/>
      </c>
      <c r="I55" s="5" t="inlineStr"/>
    </row>
    <row r="56">
      <c r="C56" s="5" t="inlineStr">
        <is>
          <t>Shorts (herre)</t>
        </is>
      </c>
      <c r="D56" s="5" t="inlineStr"/>
      <c r="E56" s="5" t="inlineStr"/>
      <c r="F56" s="5" t="n">
        <v>188</v>
      </c>
      <c r="I56" s="5" t="inlineStr"/>
    </row>
    <row r="57">
      <c r="C57" s="5" t="inlineStr">
        <is>
          <t>Tskjorte</t>
        </is>
      </c>
      <c r="D57" s="5" t="inlineStr"/>
      <c r="E57" s="5" t="inlineStr"/>
      <c r="F57" s="5" t="n">
        <v>196</v>
      </c>
      <c r="I57" s="5" t="inlineStr"/>
    </row>
    <row r="58">
      <c r="C58" s="5" t="inlineStr">
        <is>
          <t>Tskjorte</t>
        </is>
      </c>
      <c r="D58" s="5" t="inlineStr"/>
      <c r="E58" s="5" t="inlineStr"/>
      <c r="F58" s="5" t="n">
        <v>196</v>
      </c>
      <c r="I58" s="5" t="inlineStr"/>
    </row>
    <row r="59">
      <c r="B59" s="5" t="inlineStr">
        <is>
          <t>Gustav Vestå</t>
        </is>
      </c>
      <c r="C59" s="5" t="inlineStr">
        <is>
          <t>Tskjorte</t>
        </is>
      </c>
      <c r="D59" s="5" t="inlineStr">
        <is>
          <t>VESTÅ</t>
        </is>
      </c>
      <c r="E59" s="5" t="inlineStr"/>
      <c r="F59" s="5" t="n">
        <v>227</v>
      </c>
      <c r="G59" s="5">
        <f>SUM(f58:f59)</f>
        <v/>
      </c>
      <c r="I59" s="5" t="inlineStr"/>
    </row>
    <row r="60">
      <c r="C60" s="5" t="inlineStr">
        <is>
          <t>Tskjorte</t>
        </is>
      </c>
      <c r="D60" s="5" t="inlineStr">
        <is>
          <t>VESTÅ</t>
        </is>
      </c>
      <c r="E60" s="5" t="inlineStr"/>
      <c r="F60" s="5" t="n">
        <v>227</v>
      </c>
      <c r="I60" s="5" t="inlineStr"/>
    </row>
    <row r="61">
      <c r="B61" s="5" t="inlineStr">
        <is>
          <t>Markus Wallstad Hamansen</t>
        </is>
      </c>
      <c r="C61" s="5" t="inlineStr">
        <is>
          <t>Shorts (herre)</t>
        </is>
      </c>
      <c r="D61" s="5" t="inlineStr"/>
      <c r="E61" s="5" t="inlineStr"/>
      <c r="F61" s="5" t="n">
        <v>188</v>
      </c>
      <c r="G61" s="5">
        <f>SUM(f60:f61)</f>
        <v/>
      </c>
      <c r="I61" s="5" t="inlineStr"/>
    </row>
    <row r="62">
      <c r="C62" s="5" t="inlineStr">
        <is>
          <t>Tskjorte</t>
        </is>
      </c>
      <c r="D62" s="5" t="inlineStr">
        <is>
          <t>W - HAMANSEN</t>
        </is>
      </c>
      <c r="E62" s="5" t="inlineStr"/>
      <c r="F62" s="5" t="n">
        <v>227</v>
      </c>
      <c r="I62" s="5" t="inlineStr"/>
    </row>
    <row r="63">
      <c r="B63" s="5" t="inlineStr">
        <is>
          <t>Mats Børja Berg</t>
        </is>
      </c>
      <c r="C63" s="5" t="inlineStr">
        <is>
          <t>Hettejakke</t>
        </is>
      </c>
      <c r="D63" s="5" t="inlineStr">
        <is>
          <t>BØRJA</t>
        </is>
      </c>
      <c r="E63" s="5" t="n">
        <v>0</v>
      </c>
      <c r="F63" s="5" t="n">
        <v>453</v>
      </c>
      <c r="G63" s="5">
        <f>SUM(f62:f66)</f>
        <v/>
      </c>
      <c r="I63" s="5" t="inlineStr">
        <is>
          <t>Mats Børja Berg er ikke trener?</t>
        </is>
      </c>
    </row>
    <row r="64">
      <c r="C64" s="5" t="inlineStr">
        <is>
          <t>Joggebukse</t>
        </is>
      </c>
      <c r="D64" s="5" t="inlineStr"/>
      <c r="E64" s="5" t="inlineStr"/>
      <c r="F64" s="5" t="n">
        <v>279</v>
      </c>
      <c r="I64" s="5" t="inlineStr"/>
    </row>
    <row r="65">
      <c r="C65" s="5" t="inlineStr">
        <is>
          <t>Shorts (herre)</t>
        </is>
      </c>
      <c r="D65" s="5" t="inlineStr"/>
      <c r="E65" s="5" t="inlineStr"/>
      <c r="F65" s="5" t="n">
        <v>188</v>
      </c>
      <c r="I65" s="5" t="inlineStr"/>
    </row>
    <row r="66">
      <c r="C66" s="5" t="inlineStr">
        <is>
          <t>Tskjorte</t>
        </is>
      </c>
      <c r="D66" s="5" t="inlineStr">
        <is>
          <t>BØRJA</t>
        </is>
      </c>
      <c r="E66" s="5" t="inlineStr"/>
      <c r="F66" s="5" t="n">
        <v>227</v>
      </c>
      <c r="I66" s="5" t="inlineStr"/>
    </row>
    <row r="67">
      <c r="C67" s="5" t="inlineStr">
        <is>
          <t>Tskjorte</t>
        </is>
      </c>
      <c r="D67" s="5" t="inlineStr">
        <is>
          <t>BØRJA</t>
        </is>
      </c>
      <c r="E67" s="5" t="inlineStr"/>
      <c r="F67" s="5" t="n">
        <v>227</v>
      </c>
      <c r="I67" s="5" t="inlineStr"/>
    </row>
    <row r="68">
      <c r="B68" s="5" t="inlineStr">
        <is>
          <t>Vetle Tobias Lannem</t>
        </is>
      </c>
      <c r="C68" s="5" t="inlineStr">
        <is>
          <t>Joggebukse</t>
        </is>
      </c>
      <c r="D68" s="5" t="inlineStr"/>
      <c r="E68" s="5" t="inlineStr"/>
      <c r="F68" s="5" t="n">
        <v>279</v>
      </c>
      <c r="G68" s="5">
        <f>SUM(f67:f74)</f>
        <v/>
      </c>
      <c r="I68" s="5" t="inlineStr"/>
    </row>
    <row r="69">
      <c r="C69" s="5" t="inlineStr">
        <is>
          <t>Oppvarmingsgenser</t>
        </is>
      </c>
      <c r="D69" s="5" t="inlineStr">
        <is>
          <t>LANNEM</t>
        </is>
      </c>
      <c r="E69" s="5" t="inlineStr"/>
      <c r="F69" s="5" t="n">
        <v>412</v>
      </c>
      <c r="I69" s="5" t="inlineStr">
        <is>
          <t>PRINT P Å DENNEEE OGSÅ</t>
        </is>
      </c>
    </row>
    <row r="70">
      <c r="C70" s="5" t="inlineStr">
        <is>
          <t>Shorts (herre)</t>
        </is>
      </c>
      <c r="D70" s="5" t="inlineStr"/>
      <c r="E70" s="5" t="inlineStr"/>
      <c r="F70" s="5" t="n">
        <v>188</v>
      </c>
      <c r="I70" s="5" t="inlineStr"/>
    </row>
    <row r="71">
      <c r="C71" s="5" t="inlineStr">
        <is>
          <t>Shorts (herre)</t>
        </is>
      </c>
      <c r="D71" s="5" t="inlineStr"/>
      <c r="E71" s="5" t="inlineStr"/>
      <c r="F71" s="5" t="n">
        <v>188</v>
      </c>
      <c r="I71" s="5" t="inlineStr"/>
    </row>
    <row r="72">
      <c r="C72" s="5" t="inlineStr">
        <is>
          <t>Tskjorte</t>
        </is>
      </c>
      <c r="D72" s="5" t="inlineStr">
        <is>
          <t>LANNEM</t>
        </is>
      </c>
      <c r="E72" s="5" t="inlineStr"/>
      <c r="F72" s="5" t="n">
        <v>227</v>
      </c>
      <c r="I72" s="5" t="inlineStr">
        <is>
          <t>åsly, jeg vil ha print på alle tskjortene👉👈</t>
        </is>
      </c>
    </row>
    <row r="73">
      <c r="C73" s="5" t="inlineStr">
        <is>
          <t>Tskjorte</t>
        </is>
      </c>
      <c r="D73" s="5" t="inlineStr">
        <is>
          <t>LANNEM</t>
        </is>
      </c>
      <c r="E73" s="5" t="inlineStr"/>
      <c r="F73" s="5" t="n">
        <v>227</v>
      </c>
      <c r="I73" s="5" t="inlineStr">
        <is>
          <t>åsly, jeg vil ha print på alle tskjortene👉👈</t>
        </is>
      </c>
    </row>
    <row r="74">
      <c r="C74" s="5" t="inlineStr">
        <is>
          <t>Tskjorte</t>
        </is>
      </c>
      <c r="D74" s="5" t="inlineStr">
        <is>
          <t>LANNEM</t>
        </is>
      </c>
      <c r="E74" s="5" t="inlineStr"/>
      <c r="F74" s="5" t="n">
        <v>227</v>
      </c>
      <c r="I74" s="5" t="inlineStr">
        <is>
          <t>åsly, jeg vil ha print på alle tskjortene👉👈</t>
        </is>
      </c>
    </row>
    <row r="75">
      <c r="C75" s="5" t="inlineStr">
        <is>
          <t>Tskjorte</t>
        </is>
      </c>
      <c r="D75" s="5" t="inlineStr">
        <is>
          <t>LANNEM</t>
        </is>
      </c>
      <c r="E75" s="5" t="inlineStr"/>
      <c r="F75" s="5" t="n">
        <v>227</v>
      </c>
      <c r="I75" s="5" t="inlineStr">
        <is>
          <t>åsly, jeg vil ha print på alle tskjortene👉👈</t>
        </is>
      </c>
    </row>
    <row r="76">
      <c r="A76" s="3" t="inlineStr">
        <is>
          <t>H2C</t>
        </is>
      </c>
      <c r="B76" s="4" t="inlineStr">
        <is>
          <t>Alejandro Bautista Diaz</t>
        </is>
      </c>
      <c r="C76" s="4" t="inlineStr">
        <is>
          <t>Half-zip</t>
        </is>
      </c>
      <c r="D76" s="4" t="inlineStr"/>
      <c r="E76" s="4" t="inlineStr"/>
      <c r="F76" s="4" t="n">
        <v>422</v>
      </c>
      <c r="G76" s="4">
        <f>SUM(f75:f78)</f>
        <v/>
      </c>
      <c r="H76" s="4">
        <f>SUM(g75:g86)</f>
        <v/>
      </c>
      <c r="I76" s="4" t="inlineStr"/>
    </row>
    <row r="77">
      <c r="C77" s="4" t="inlineStr">
        <is>
          <t>Shorts (herre)</t>
        </is>
      </c>
      <c r="D77" s="4" t="inlineStr"/>
      <c r="E77" s="4" t="inlineStr"/>
      <c r="F77" s="4" t="n">
        <v>188</v>
      </c>
      <c r="I77" s="4" t="inlineStr"/>
    </row>
    <row r="78">
      <c r="C78" s="4" t="inlineStr">
        <is>
          <t>Shorts (herre)</t>
        </is>
      </c>
      <c r="D78" s="4" t="inlineStr"/>
      <c r="E78" s="4" t="inlineStr"/>
      <c r="F78" s="4" t="n">
        <v>188</v>
      </c>
      <c r="I78" s="4" t="inlineStr"/>
    </row>
    <row r="79">
      <c r="C79" s="4" t="inlineStr">
        <is>
          <t>Tskjorte</t>
        </is>
      </c>
      <c r="D79" s="4" t="inlineStr"/>
      <c r="E79" s="4" t="inlineStr"/>
      <c r="F79" s="4" t="n">
        <v>196</v>
      </c>
      <c r="I79" s="4" t="inlineStr"/>
    </row>
    <row r="80">
      <c r="B80" s="4" t="inlineStr">
        <is>
          <t>Andreas Bruun Paulsen</t>
        </is>
      </c>
      <c r="C80" s="4" t="inlineStr">
        <is>
          <t>Half-zip</t>
        </is>
      </c>
      <c r="D80" s="4" t="inlineStr">
        <is>
          <t>PAULSEN</t>
        </is>
      </c>
      <c r="E80" s="4" t="inlineStr"/>
      <c r="F80" s="4" t="n">
        <v>453</v>
      </c>
      <c r="G80" s="4">
        <f>SUM(f79:f83)</f>
        <v/>
      </c>
      <c r="I80" s="4" t="inlineStr"/>
    </row>
    <row r="81">
      <c r="C81" s="4" t="inlineStr">
        <is>
          <t>Kompresjonsgenser</t>
        </is>
      </c>
      <c r="D81" s="4" t="inlineStr"/>
      <c r="E81" s="4" t="inlineStr"/>
      <c r="F81" s="4" t="n">
        <v>356</v>
      </c>
      <c r="I81" s="4" t="inlineStr"/>
    </row>
    <row r="82">
      <c r="C82" s="4" t="inlineStr">
        <is>
          <t>Shorts (herre)</t>
        </is>
      </c>
      <c r="D82" s="4" t="inlineStr"/>
      <c r="E82" s="4" t="inlineStr"/>
      <c r="F82" s="4" t="n">
        <v>188</v>
      </c>
      <c r="I82" s="4" t="inlineStr"/>
    </row>
    <row r="83">
      <c r="C83" s="4" t="inlineStr">
        <is>
          <t>Tskjorte</t>
        </is>
      </c>
      <c r="D83" s="4" t="inlineStr">
        <is>
          <t>PAULSEN</t>
        </is>
      </c>
      <c r="E83" s="4" t="inlineStr"/>
      <c r="F83" s="4" t="n">
        <v>227</v>
      </c>
      <c r="I83" s="4" t="inlineStr"/>
    </row>
    <row r="84">
      <c r="C84" s="4" t="inlineStr">
        <is>
          <t>Tskjorte</t>
        </is>
      </c>
      <c r="D84" s="4" t="inlineStr">
        <is>
          <t>PAULSEN</t>
        </is>
      </c>
      <c r="E84" s="4" t="inlineStr"/>
      <c r="F84" s="4" t="n">
        <v>227</v>
      </c>
      <c r="I84" s="4" t="inlineStr"/>
    </row>
    <row r="85">
      <c r="B85" s="4" t="inlineStr">
        <is>
          <t>Fredrik Ånensen Balas</t>
        </is>
      </c>
      <c r="C85" s="4" t="inlineStr">
        <is>
          <t>Half-zip</t>
        </is>
      </c>
      <c r="D85" s="4" t="inlineStr"/>
      <c r="E85" s="4" t="inlineStr"/>
      <c r="F85" s="4" t="n">
        <v>422</v>
      </c>
      <c r="G85" s="4">
        <f>SUM(f84:f86)</f>
        <v/>
      </c>
      <c r="I85" s="4" t="inlineStr"/>
    </row>
    <row r="86">
      <c r="C86" s="4" t="inlineStr">
        <is>
          <t>Shorts (herre)</t>
        </is>
      </c>
      <c r="D86" s="4" t="inlineStr"/>
      <c r="E86" s="4" t="inlineStr"/>
      <c r="F86" s="4" t="n">
        <v>188</v>
      </c>
      <c r="I86" s="4" t="inlineStr"/>
    </row>
    <row r="87">
      <c r="C87" s="4" t="inlineStr">
        <is>
          <t>Tskjorte</t>
        </is>
      </c>
      <c r="D87" s="4" t="inlineStr"/>
      <c r="E87" s="4" t="inlineStr"/>
      <c r="F87" s="4" t="n">
        <v>196</v>
      </c>
      <c r="I87" s="4" t="inlineStr"/>
    </row>
    <row r="88">
      <c r="A88" s="3" t="inlineStr">
        <is>
          <t>H3A</t>
        </is>
      </c>
      <c r="B88" s="5" t="inlineStr">
        <is>
          <t xml:space="preserve">Erlend Szontheimer </t>
        </is>
      </c>
      <c r="C88" s="5" t="inlineStr">
        <is>
          <t>Oppvarmingsgenser</t>
        </is>
      </c>
      <c r="D88" s="5" t="inlineStr">
        <is>
          <t>SZONTHEIMER</t>
        </is>
      </c>
      <c r="E88" s="5" t="inlineStr"/>
      <c r="F88" s="5" t="n">
        <v>412</v>
      </c>
      <c r="G88" s="5">
        <f>SUM(f87:f87)</f>
        <v/>
      </c>
      <c r="H88" s="5">
        <f>SUM(g87:g87)</f>
        <v/>
      </c>
      <c r="I88" s="5" t="inlineStr">
        <is>
          <t>Vil bruke trenerrabatten på denne</t>
        </is>
      </c>
    </row>
    <row r="89">
      <c r="A89" s="3" t="inlineStr">
        <is>
          <t>H3B</t>
        </is>
      </c>
      <c r="B89" s="4" t="inlineStr">
        <is>
          <t>Edvard Hjertvik Aasen</t>
        </is>
      </c>
      <c r="C89" s="4" t="inlineStr">
        <is>
          <t>Half-zip</t>
        </is>
      </c>
      <c r="D89" s="4" t="inlineStr">
        <is>
          <t>HJERTVIK AASEN</t>
        </is>
      </c>
      <c r="E89" s="4" t="inlineStr"/>
      <c r="F89" s="4" t="n">
        <v>453</v>
      </c>
      <c r="G89" s="4">
        <f>SUM(f88:f91)</f>
        <v/>
      </c>
      <c r="H89" s="4">
        <f>SUM(g88:g102)</f>
        <v/>
      </c>
      <c r="I89" s="4" t="inlineStr"/>
    </row>
    <row r="90">
      <c r="C90" s="4" t="inlineStr">
        <is>
          <t>Shorts (herre)</t>
        </is>
      </c>
      <c r="D90" s="4" t="inlineStr"/>
      <c r="E90" s="4" t="inlineStr"/>
      <c r="F90" s="4" t="n">
        <v>188</v>
      </c>
      <c r="I90" s="4" t="inlineStr"/>
    </row>
    <row r="91">
      <c r="C91" s="4" t="inlineStr">
        <is>
          <t>Shorts (herre)</t>
        </is>
      </c>
      <c r="D91" s="4" t="inlineStr"/>
      <c r="E91" s="4" t="inlineStr"/>
      <c r="F91" s="4" t="n">
        <v>188</v>
      </c>
      <c r="I91" s="4" t="inlineStr"/>
    </row>
    <row r="92">
      <c r="C92" s="4" t="inlineStr">
        <is>
          <t>Tskjorte</t>
        </is>
      </c>
      <c r="D92" s="4" t="inlineStr">
        <is>
          <t>HJERTVIK AASEN</t>
        </is>
      </c>
      <c r="E92" s="4" t="inlineStr"/>
      <c r="F92" s="4" t="n">
        <v>227</v>
      </c>
      <c r="I92" s="4" t="inlineStr"/>
    </row>
    <row r="93">
      <c r="B93" s="4" t="inlineStr">
        <is>
          <t>Omran Wahidi</t>
        </is>
      </c>
      <c r="C93" s="4" t="inlineStr">
        <is>
          <t>Half-zip</t>
        </is>
      </c>
      <c r="D93" s="4" t="inlineStr">
        <is>
          <t>WAHIDI</t>
        </is>
      </c>
      <c r="E93" s="4" t="inlineStr"/>
      <c r="F93" s="4" t="n">
        <v>453</v>
      </c>
      <c r="G93" s="4">
        <f>SUM(f92:f96)</f>
        <v/>
      </c>
      <c r="I93" s="4" t="inlineStr"/>
    </row>
    <row r="94">
      <c r="C94" s="4" t="inlineStr">
        <is>
          <t>Shorts (herre)</t>
        </is>
      </c>
      <c r="D94" s="4" t="inlineStr"/>
      <c r="E94" s="4" t="inlineStr"/>
      <c r="F94" s="4" t="n">
        <v>188</v>
      </c>
      <c r="I94" s="4" t="inlineStr"/>
    </row>
    <row r="95">
      <c r="C95" s="4" t="inlineStr">
        <is>
          <t>Tskjorte</t>
        </is>
      </c>
      <c r="D95" s="4" t="inlineStr">
        <is>
          <t>WAHIDI</t>
        </is>
      </c>
      <c r="E95" s="4" t="inlineStr"/>
      <c r="F95" s="4" t="n">
        <v>227</v>
      </c>
      <c r="I95" s="4" t="inlineStr"/>
    </row>
    <row r="96">
      <c r="C96" s="4" t="inlineStr">
        <is>
          <t>Tskjorte</t>
        </is>
      </c>
      <c r="D96" s="4" t="inlineStr">
        <is>
          <t>WAHIDI</t>
        </is>
      </c>
      <c r="E96" s="4" t="inlineStr"/>
      <c r="F96" s="4" t="n">
        <v>227</v>
      </c>
      <c r="I96" s="4" t="inlineStr"/>
    </row>
    <row r="97">
      <c r="C97" s="4" t="inlineStr">
        <is>
          <t>Tskjorte</t>
        </is>
      </c>
      <c r="D97" s="4" t="inlineStr">
        <is>
          <t>WAHIDI</t>
        </is>
      </c>
      <c r="E97" s="4" t="inlineStr"/>
      <c r="F97" s="4" t="n">
        <v>227</v>
      </c>
      <c r="I97" s="4" t="inlineStr"/>
    </row>
    <row r="98">
      <c r="B98" s="4" t="inlineStr">
        <is>
          <t>Snorre Indergaard Drønnen</t>
        </is>
      </c>
      <c r="C98" s="4" t="inlineStr">
        <is>
          <t>Hettegenser</t>
        </is>
      </c>
      <c r="D98" s="4" t="inlineStr">
        <is>
          <t>KORTKONGEN</t>
        </is>
      </c>
      <c r="E98" s="4" t="inlineStr"/>
      <c r="F98" s="4" t="n">
        <v>367</v>
      </c>
      <c r="G98" s="4">
        <f>SUM(f97:f99)</f>
        <v/>
      </c>
      <c r="I98" s="4" t="inlineStr"/>
    </row>
    <row r="99">
      <c r="C99" s="4" t="inlineStr">
        <is>
          <t>Joggebukse</t>
        </is>
      </c>
      <c r="D99" s="4" t="inlineStr"/>
      <c r="E99" s="4" t="inlineStr"/>
      <c r="F99" s="4" t="n">
        <v>279</v>
      </c>
      <c r="I99" s="4" t="inlineStr"/>
    </row>
    <row r="100">
      <c r="C100" s="4" t="inlineStr">
        <is>
          <t>Tskjorte</t>
        </is>
      </c>
      <c r="D100" s="4" t="inlineStr">
        <is>
          <t>KORTKONGEN</t>
        </is>
      </c>
      <c r="E100" s="4" t="inlineStr"/>
      <c r="F100" s="4" t="n">
        <v>227</v>
      </c>
      <c r="I100" s="4" t="inlineStr"/>
    </row>
    <row r="101">
      <c r="B101" s="4" t="inlineStr">
        <is>
          <t xml:space="preserve">Sune Röse </t>
        </is>
      </c>
      <c r="C101" s="4" t="inlineStr">
        <is>
          <t>Half-zip</t>
        </is>
      </c>
      <c r="D101" s="4" t="inlineStr">
        <is>
          <t>RÖSE</t>
        </is>
      </c>
      <c r="E101" s="4" t="inlineStr"/>
      <c r="F101" s="4" t="n">
        <v>453</v>
      </c>
      <c r="G101" s="4">
        <f>SUM(f100:f102)</f>
        <v/>
      </c>
      <c r="I101" s="4" t="inlineStr"/>
    </row>
    <row r="102">
      <c r="C102" s="4" t="inlineStr">
        <is>
          <t>Sleeves</t>
        </is>
      </c>
      <c r="D102" s="4" t="inlineStr"/>
      <c r="E102" s="4" t="inlineStr"/>
      <c r="F102" s="4" t="n">
        <v>179</v>
      </c>
      <c r="I102" s="4" t="inlineStr"/>
    </row>
    <row r="103">
      <c r="C103" s="4" t="inlineStr">
        <is>
          <t>Sleeves</t>
        </is>
      </c>
      <c r="D103" s="4" t="inlineStr"/>
      <c r="E103" s="4" t="inlineStr"/>
      <c r="F103" s="4" t="n">
        <v>179</v>
      </c>
      <c r="I103" s="4" t="inlineStr"/>
    </row>
    <row r="104">
      <c r="A104" s="3" t="inlineStr">
        <is>
          <t>H4A</t>
        </is>
      </c>
      <c r="B104" s="5" t="inlineStr">
        <is>
          <t>Henrikke Søvik Lyngdal</t>
        </is>
      </c>
      <c r="C104" s="5" t="inlineStr">
        <is>
          <t>Crewneck</t>
        </is>
      </c>
      <c r="D104" s="5" t="inlineStr">
        <is>
          <t>LYNGDAL</t>
        </is>
      </c>
      <c r="E104" s="5" t="inlineStr"/>
      <c r="F104" s="5" t="n">
        <v>335</v>
      </c>
      <c r="G104" s="5">
        <f>SUM(f103:f105)</f>
        <v/>
      </c>
      <c r="H104" s="5">
        <f>SUM(g103:g105)</f>
        <v/>
      </c>
      <c r="I104" s="5" t="inlineStr"/>
    </row>
    <row r="105">
      <c r="C105" s="5" t="inlineStr">
        <is>
          <t>Joggebukse</t>
        </is>
      </c>
      <c r="D105" s="5" t="inlineStr"/>
      <c r="E105" s="5" t="inlineStr"/>
      <c r="F105" s="5" t="n">
        <v>279</v>
      </c>
      <c r="I105" s="5" t="inlineStr"/>
    </row>
    <row r="106">
      <c r="C106" s="5" t="inlineStr">
        <is>
          <t>Oppvarmingsgenser</t>
        </is>
      </c>
      <c r="D106" s="5" t="inlineStr">
        <is>
          <t>LYNGDAL</t>
        </is>
      </c>
      <c r="E106" s="5" t="inlineStr"/>
      <c r="F106" s="5" t="n">
        <v>412</v>
      </c>
      <c r="I106" s="5" t="inlineStr"/>
    </row>
    <row r="107">
      <c r="A107" s="3" t="inlineStr">
        <is>
          <t>H4B</t>
        </is>
      </c>
      <c r="B107" s="4" t="inlineStr">
        <is>
          <t>Aleksander Hille</t>
        </is>
      </c>
      <c r="C107" s="4" t="inlineStr">
        <is>
          <t>Crewneck</t>
        </is>
      </c>
      <c r="D107" s="4" t="inlineStr">
        <is>
          <t>HILLE</t>
        </is>
      </c>
      <c r="E107" s="4" t="inlineStr"/>
      <c r="F107" s="4" t="n">
        <v>335</v>
      </c>
      <c r="G107" s="4">
        <f>SUM(f106:f112)</f>
        <v/>
      </c>
      <c r="H107" s="4">
        <f>SUM(g106:g117)</f>
        <v/>
      </c>
      <c r="I107" s="4" t="inlineStr"/>
    </row>
    <row r="108">
      <c r="C108" s="4" t="inlineStr">
        <is>
          <t>Half-zip</t>
        </is>
      </c>
      <c r="D108" s="4" t="inlineStr">
        <is>
          <t>HILLE</t>
        </is>
      </c>
      <c r="E108" s="4" t="inlineStr"/>
      <c r="F108" s="4" t="n">
        <v>453</v>
      </c>
      <c r="I108" s="4" t="inlineStr"/>
    </row>
    <row r="109">
      <c r="C109" s="4" t="inlineStr">
        <is>
          <t>Joggebukse</t>
        </is>
      </c>
      <c r="D109" s="4" t="inlineStr"/>
      <c r="E109" s="4" t="inlineStr"/>
      <c r="F109" s="4" t="n">
        <v>279</v>
      </c>
      <c r="I109" s="4" t="inlineStr"/>
    </row>
    <row r="110">
      <c r="C110" s="4" t="inlineStr">
        <is>
          <t>Shorts (herre)</t>
        </is>
      </c>
      <c r="D110" s="4" t="inlineStr"/>
      <c r="E110" s="4" t="inlineStr"/>
      <c r="F110" s="4" t="n">
        <v>188</v>
      </c>
      <c r="I110" s="4" t="inlineStr"/>
    </row>
    <row r="111">
      <c r="C111" s="4" t="inlineStr">
        <is>
          <t>Tskjorte</t>
        </is>
      </c>
      <c r="D111" s="4" t="inlineStr">
        <is>
          <t>HILLE</t>
        </is>
      </c>
      <c r="E111" s="4" t="inlineStr"/>
      <c r="F111" s="4" t="n">
        <v>227</v>
      </c>
      <c r="I111" s="4" t="inlineStr"/>
    </row>
    <row r="112">
      <c r="C112" s="4" t="inlineStr">
        <is>
          <t>Tskjorte</t>
        </is>
      </c>
      <c r="D112" s="4" t="inlineStr">
        <is>
          <t>HILLE</t>
        </is>
      </c>
      <c r="E112" s="4" t="inlineStr"/>
      <c r="F112" s="4" t="n">
        <v>227</v>
      </c>
      <c r="I112" s="4" t="inlineStr"/>
    </row>
    <row r="113">
      <c r="C113" s="4" t="inlineStr">
        <is>
          <t>Tskjorte</t>
        </is>
      </c>
      <c r="D113" s="4" t="inlineStr">
        <is>
          <t>HILLE</t>
        </is>
      </c>
      <c r="E113" s="4" t="inlineStr"/>
      <c r="F113" s="4" t="n">
        <v>227</v>
      </c>
      <c r="I113" s="4" t="inlineStr"/>
    </row>
    <row r="114">
      <c r="B114" s="4" t="inlineStr">
        <is>
          <t>Kenneth Olstad Johnsen</t>
        </is>
      </c>
      <c r="C114" s="4" t="inlineStr">
        <is>
          <t>Joggebukse</t>
        </is>
      </c>
      <c r="D114" s="4" t="inlineStr"/>
      <c r="E114" s="4" t="inlineStr"/>
      <c r="F114" s="4" t="n">
        <v>279</v>
      </c>
      <c r="G114" s="4">
        <f>SUM(f113:f114)</f>
        <v/>
      </c>
      <c r="I114" s="4" t="inlineStr"/>
    </row>
    <row r="115">
      <c r="C115" s="4" t="inlineStr">
        <is>
          <t>Tskjorte</t>
        </is>
      </c>
      <c r="D115" s="4" t="inlineStr">
        <is>
          <t>JOHNSEN</t>
        </is>
      </c>
      <c r="E115" s="4" t="inlineStr"/>
      <c r="F115" s="4" t="n">
        <v>227</v>
      </c>
      <c r="I115" s="4" t="inlineStr"/>
    </row>
    <row r="116">
      <c r="B116" s="4" t="inlineStr">
        <is>
          <t>Sindre Bjoreng</t>
        </is>
      </c>
      <c r="C116" s="4" t="inlineStr">
        <is>
          <t>Half-zip</t>
        </is>
      </c>
      <c r="D116" s="4" t="inlineStr">
        <is>
          <t>SINDRE BJORENG</t>
        </is>
      </c>
      <c r="E116" s="4" t="inlineStr"/>
      <c r="F116" s="4" t="n">
        <v>453</v>
      </c>
      <c r="G116" s="4">
        <f>SUM(f115:f117)</f>
        <v/>
      </c>
      <c r="I116" s="4" t="inlineStr"/>
    </row>
    <row r="117">
      <c r="C117" s="4" t="inlineStr">
        <is>
          <t>Shorts (herre)</t>
        </is>
      </c>
      <c r="D117" s="4" t="inlineStr"/>
      <c r="E117" s="4" t="inlineStr"/>
      <c r="F117" s="4" t="n">
        <v>188</v>
      </c>
      <c r="I117" s="4" t="inlineStr"/>
    </row>
    <row r="118">
      <c r="C118" s="4" t="inlineStr">
        <is>
          <t>Tskjorte</t>
        </is>
      </c>
      <c r="D118" s="4" t="inlineStr">
        <is>
          <t>SINDRE BJORENG</t>
        </is>
      </c>
      <c r="E118" s="4" t="inlineStr"/>
      <c r="F118" s="4" t="n">
        <v>227</v>
      </c>
      <c r="I118" s="4" t="inlineStr">
        <is>
          <t>One Large White t-shirt with print</t>
        </is>
      </c>
    </row>
    <row r="119">
      <c r="A119" s="3" t="inlineStr">
        <is>
          <t>D1</t>
        </is>
      </c>
      <c r="B119" s="5" t="inlineStr">
        <is>
          <t>Eira Aalefjær</t>
        </is>
      </c>
      <c r="C119" s="5" t="inlineStr">
        <is>
          <t>Oppvarmingsgenser</t>
        </is>
      </c>
      <c r="D119" s="5" t="inlineStr"/>
      <c r="E119" s="5" t="inlineStr"/>
      <c r="F119" s="5" t="n">
        <v>351</v>
      </c>
      <c r="G119" s="5">
        <f>SUM(f118:f120)</f>
        <v/>
      </c>
      <c r="H119" s="5">
        <f>SUM(g118:g140)</f>
        <v/>
      </c>
      <c r="I119" s="5" t="inlineStr"/>
    </row>
    <row r="120">
      <c r="C120" s="5" t="inlineStr">
        <is>
          <t>Tskjorte</t>
        </is>
      </c>
      <c r="D120" s="5" t="inlineStr"/>
      <c r="E120" s="5" t="inlineStr"/>
      <c r="F120" s="5" t="n">
        <v>196</v>
      </c>
      <c r="I120" s="5" t="inlineStr"/>
    </row>
    <row r="121">
      <c r="C121" s="5" t="inlineStr">
        <is>
          <t>Tskjorte</t>
        </is>
      </c>
      <c r="D121" s="5" t="inlineStr"/>
      <c r="E121" s="5" t="inlineStr"/>
      <c r="F121" s="5" t="n">
        <v>196</v>
      </c>
      <c r="I121" s="5" t="inlineStr"/>
    </row>
    <row r="122">
      <c r="B122" s="5" t="inlineStr">
        <is>
          <t>Evelina Dalisanskaite</t>
        </is>
      </c>
      <c r="C122" s="5" t="inlineStr">
        <is>
          <t>Hettejakke</t>
        </is>
      </c>
      <c r="D122" s="5" t="inlineStr">
        <is>
          <t>DALISANSKAITE</t>
        </is>
      </c>
      <c r="E122" s="5" t="n">
        <v>210</v>
      </c>
      <c r="F122" s="5" t="n">
        <v>243</v>
      </c>
      <c r="G122" s="5">
        <f>SUM(f121:f124)</f>
        <v/>
      </c>
      <c r="I122" s="5" t="inlineStr"/>
    </row>
    <row r="123">
      <c r="C123" s="5" t="inlineStr">
        <is>
          <t>Joggebukse</t>
        </is>
      </c>
      <c r="D123" s="5" t="inlineStr"/>
      <c r="E123" s="5" t="inlineStr"/>
      <c r="F123" s="5" t="n">
        <v>279</v>
      </c>
      <c r="I123" s="5" t="inlineStr"/>
    </row>
    <row r="124">
      <c r="C124" s="5" t="inlineStr">
        <is>
          <t>Tskjorte</t>
        </is>
      </c>
      <c r="D124" s="5" t="inlineStr">
        <is>
          <t>DALISANSKAITE</t>
        </is>
      </c>
      <c r="E124" s="5" t="inlineStr"/>
      <c r="F124" s="5" t="n">
        <v>227</v>
      </c>
      <c r="I124" s="5" t="inlineStr"/>
    </row>
    <row r="125">
      <c r="C125" s="5" t="inlineStr">
        <is>
          <t>Tskjorte</t>
        </is>
      </c>
      <c r="D125" s="5" t="inlineStr">
        <is>
          <t>DALISANSKAITE</t>
        </is>
      </c>
      <c r="E125" s="5" t="inlineStr"/>
      <c r="F125" s="5" t="n">
        <v>227</v>
      </c>
      <c r="I125" s="5" t="inlineStr"/>
    </row>
    <row r="126">
      <c r="B126" s="5" t="inlineStr">
        <is>
          <t xml:space="preserve">Julie Hoem Jonassen </t>
        </is>
      </c>
      <c r="C126" s="5" t="inlineStr">
        <is>
          <t>Oppvarmingsgenser</t>
        </is>
      </c>
      <c r="D126" s="5" t="inlineStr"/>
      <c r="E126" s="5" t="inlineStr"/>
      <c r="F126" s="5" t="n">
        <v>351</v>
      </c>
      <c r="G126" s="5">
        <f>SUM(f125:f126)</f>
        <v/>
      </c>
      <c r="I126" s="5" t="inlineStr"/>
    </row>
    <row r="127">
      <c r="C127" s="5" t="inlineStr">
        <is>
          <t>Tskjorte</t>
        </is>
      </c>
      <c r="D127" s="5" t="inlineStr"/>
      <c r="E127" s="5" t="inlineStr"/>
      <c r="F127" s="5" t="n">
        <v>196</v>
      </c>
      <c r="I127" s="5" t="inlineStr"/>
    </row>
    <row r="128">
      <c r="B128" s="5" t="inlineStr">
        <is>
          <t>Kamilla Vik Linga</t>
        </is>
      </c>
      <c r="C128" s="5" t="inlineStr">
        <is>
          <t>Crewneck</t>
        </is>
      </c>
      <c r="D128" s="5" t="inlineStr">
        <is>
          <t>LINGA</t>
        </is>
      </c>
      <c r="E128" s="5" t="inlineStr"/>
      <c r="F128" s="5" t="n">
        <v>335</v>
      </c>
      <c r="G128" s="5">
        <f>SUM(f127:f129)</f>
        <v/>
      </c>
      <c r="I128" s="5" t="inlineStr"/>
    </row>
    <row r="129">
      <c r="C129" s="5" t="inlineStr">
        <is>
          <t>Oppvarmingsgenser</t>
        </is>
      </c>
      <c r="D129" s="5" t="inlineStr">
        <is>
          <t>LINGA</t>
        </is>
      </c>
      <c r="E129" s="5" t="inlineStr"/>
      <c r="F129" s="5" t="n">
        <v>412</v>
      </c>
      <c r="I129" s="5" t="inlineStr"/>
    </row>
    <row r="130">
      <c r="C130" s="5" t="inlineStr">
        <is>
          <t>Tskjorte</t>
        </is>
      </c>
      <c r="D130" s="5" t="inlineStr"/>
      <c r="E130" s="5" t="inlineStr"/>
      <c r="F130" s="5" t="n">
        <v>196</v>
      </c>
      <c r="I130" s="5" t="inlineStr"/>
    </row>
    <row r="131">
      <c r="B131" s="5" t="inlineStr">
        <is>
          <t>Malin Snarheim Brynjelsen</t>
        </is>
      </c>
      <c r="C131" s="5" t="inlineStr">
        <is>
          <t>Oppvarmingsgenser</t>
        </is>
      </c>
      <c r="D131" s="5" t="inlineStr">
        <is>
          <t>MALIN</t>
        </is>
      </c>
      <c r="E131" s="5" t="inlineStr"/>
      <c r="F131" s="5" t="n">
        <v>412</v>
      </c>
      <c r="G131" s="5">
        <f>SUM(f130:f134)</f>
        <v/>
      </c>
      <c r="I131" s="5" t="inlineStr">
        <is>
          <t>damestørrelse</t>
        </is>
      </c>
    </row>
    <row r="132">
      <c r="C132" s="5" t="inlineStr">
        <is>
          <t>Oppvarmingsgenser</t>
        </is>
      </c>
      <c r="D132" s="5" t="inlineStr">
        <is>
          <t>MALIN</t>
        </is>
      </c>
      <c r="E132" s="5" t="inlineStr"/>
      <c r="F132" s="5" t="n">
        <v>412</v>
      </c>
      <c r="I132" s="5" t="inlineStr">
        <is>
          <t>damestørrelse</t>
        </is>
      </c>
    </row>
    <row r="133">
      <c r="C133" s="5" t="inlineStr">
        <is>
          <t>Tskjorte</t>
        </is>
      </c>
      <c r="D133" s="5" t="inlineStr">
        <is>
          <t>MALIN</t>
        </is>
      </c>
      <c r="E133" s="5" t="inlineStr"/>
      <c r="F133" s="5" t="n">
        <v>227</v>
      </c>
      <c r="I133" s="5" t="inlineStr">
        <is>
          <t>damestørrelse</t>
        </is>
      </c>
    </row>
    <row r="134">
      <c r="C134" s="5" t="inlineStr">
        <is>
          <t>Tskjorte</t>
        </is>
      </c>
      <c r="D134" s="5" t="inlineStr">
        <is>
          <t>MALIN</t>
        </is>
      </c>
      <c r="E134" s="5" t="inlineStr"/>
      <c r="F134" s="5" t="n">
        <v>227</v>
      </c>
      <c r="I134" s="5" t="inlineStr">
        <is>
          <t>damestørrelse</t>
        </is>
      </c>
    </row>
    <row r="135">
      <c r="C135" s="5" t="inlineStr">
        <is>
          <t>Tskjorte</t>
        </is>
      </c>
      <c r="D135" s="5" t="inlineStr">
        <is>
          <t>MALIN</t>
        </is>
      </c>
      <c r="E135" s="5" t="inlineStr"/>
      <c r="F135" s="5" t="n">
        <v>227</v>
      </c>
      <c r="I135" s="5" t="inlineStr">
        <is>
          <t>damestørrelse</t>
        </is>
      </c>
    </row>
    <row r="136">
      <c r="B136" s="5" t="inlineStr">
        <is>
          <t>Thea Vagle</t>
        </is>
      </c>
      <c r="C136" s="5" t="inlineStr">
        <is>
          <t>Oppvarmingsgenser</t>
        </is>
      </c>
      <c r="D136" s="5" t="inlineStr">
        <is>
          <t>VAGLE</t>
        </is>
      </c>
      <c r="E136" s="5" t="inlineStr"/>
      <c r="F136" s="5" t="n">
        <v>412</v>
      </c>
      <c r="G136" s="5">
        <f>SUM(f135:f136)</f>
        <v/>
      </c>
      <c r="I136" s="5" t="inlineStr"/>
    </row>
    <row r="137">
      <c r="C137" s="5" t="inlineStr">
        <is>
          <t>Tskjorte</t>
        </is>
      </c>
      <c r="D137" s="5" t="inlineStr">
        <is>
          <t>VAGLE</t>
        </is>
      </c>
      <c r="E137" s="5" t="inlineStr"/>
      <c r="F137" s="5" t="n">
        <v>227</v>
      </c>
      <c r="I137" s="5" t="inlineStr"/>
    </row>
    <row r="138">
      <c r="B138" s="5" t="inlineStr">
        <is>
          <t>Una Kennethsdatter Nordheim</t>
        </is>
      </c>
      <c r="C138" s="5" t="inlineStr">
        <is>
          <t>Oppvarmingsgenser</t>
        </is>
      </c>
      <c r="D138" s="5" t="inlineStr"/>
      <c r="E138" s="5" t="inlineStr"/>
      <c r="F138" s="5" t="n">
        <v>351</v>
      </c>
      <c r="G138" s="5">
        <f>SUM(f137:f140)</f>
        <v/>
      </c>
      <c r="I138" s="5" t="inlineStr"/>
    </row>
    <row r="139">
      <c r="C139" s="5" t="inlineStr">
        <is>
          <t>Tskjorte</t>
        </is>
      </c>
      <c r="D139" s="5" t="inlineStr"/>
      <c r="E139" s="5" t="inlineStr"/>
      <c r="F139" s="5" t="n">
        <v>196</v>
      </c>
      <c r="I139" s="5" t="inlineStr"/>
    </row>
    <row r="140">
      <c r="C140" s="5" t="inlineStr">
        <is>
          <t>Tskjorte</t>
        </is>
      </c>
      <c r="D140" s="5" t="inlineStr"/>
      <c r="E140" s="5" t="inlineStr"/>
      <c r="F140" s="5" t="n">
        <v>196</v>
      </c>
      <c r="I140" s="5" t="inlineStr"/>
    </row>
    <row r="141">
      <c r="C141" s="5" t="inlineStr">
        <is>
          <t>Tskjorte</t>
        </is>
      </c>
      <c r="D141" s="5" t="inlineStr"/>
      <c r="E141" s="5" t="inlineStr"/>
      <c r="F141" s="5" t="n">
        <v>196</v>
      </c>
      <c r="I141" s="5" t="inlineStr"/>
    </row>
    <row r="142">
      <c r="A142" s="3" t="inlineStr">
        <is>
          <t>D2A</t>
        </is>
      </c>
      <c r="B142" s="4" t="inlineStr">
        <is>
          <t xml:space="preserve">Eva Thime Elseth </t>
        </is>
      </c>
      <c r="C142" s="4" t="inlineStr">
        <is>
          <t>Crewneck</t>
        </is>
      </c>
      <c r="D142" s="4" t="inlineStr">
        <is>
          <t>THIME</t>
        </is>
      </c>
      <c r="E142" s="4" t="inlineStr"/>
      <c r="F142" s="4" t="n">
        <v>335</v>
      </c>
      <c r="G142" s="4">
        <f>SUM(f141:f144)</f>
        <v/>
      </c>
      <c r="H142" s="4">
        <f>SUM(g141:g153)</f>
        <v/>
      </c>
      <c r="I142" s="4" t="inlineStr"/>
    </row>
    <row r="143">
      <c r="C143" s="4" t="inlineStr">
        <is>
          <t>Oppvarmingsgenser</t>
        </is>
      </c>
      <c r="D143" s="4" t="inlineStr">
        <is>
          <t>THIME</t>
        </is>
      </c>
      <c r="E143" s="4" t="inlineStr"/>
      <c r="F143" s="4" t="n">
        <v>412</v>
      </c>
      <c r="I143" s="4" t="inlineStr"/>
    </row>
    <row r="144">
      <c r="C144" s="4" t="inlineStr">
        <is>
          <t>Tskjorte</t>
        </is>
      </c>
      <c r="D144" s="4" t="inlineStr">
        <is>
          <t>THIME</t>
        </is>
      </c>
      <c r="E144" s="4" t="inlineStr"/>
      <c r="F144" s="4" t="n">
        <v>227</v>
      </c>
      <c r="I144" s="4" t="inlineStr"/>
    </row>
    <row r="145">
      <c r="C145" s="4" t="inlineStr">
        <is>
          <t>Tskjorte</t>
        </is>
      </c>
      <c r="D145" s="4" t="inlineStr">
        <is>
          <t>THIME</t>
        </is>
      </c>
      <c r="E145" s="4" t="inlineStr"/>
      <c r="F145" s="4" t="n">
        <v>227</v>
      </c>
      <c r="I145" s="4" t="inlineStr"/>
    </row>
    <row r="146">
      <c r="B146" s="4" t="inlineStr">
        <is>
          <t>Nora Kjenstadbakk</t>
        </is>
      </c>
      <c r="C146" s="4" t="inlineStr">
        <is>
          <t>Hettegenser</t>
        </is>
      </c>
      <c r="D146" s="4" t="inlineStr">
        <is>
          <t xml:space="preserve">KJENSTADBAKK </t>
        </is>
      </c>
      <c r="E146" s="4" t="inlineStr"/>
      <c r="F146" s="4" t="n">
        <v>367</v>
      </c>
      <c r="G146" s="4">
        <f>SUM(f145:f149)</f>
        <v/>
      </c>
      <c r="I146" s="4" t="inlineStr"/>
    </row>
    <row r="147">
      <c r="C147" s="4" t="inlineStr">
        <is>
          <t>Joggebukse</t>
        </is>
      </c>
      <c r="D147" s="4" t="inlineStr"/>
      <c r="E147" s="4" t="inlineStr"/>
      <c r="F147" s="4" t="n">
        <v>279</v>
      </c>
      <c r="I147" s="4" t="inlineStr"/>
    </row>
    <row r="148">
      <c r="C148" s="4" t="inlineStr">
        <is>
          <t>Oppvarmingsgenser</t>
        </is>
      </c>
      <c r="D148" s="4" t="inlineStr">
        <is>
          <t xml:space="preserve">KJENSTADBAKK </t>
        </is>
      </c>
      <c r="E148" s="4" t="inlineStr"/>
      <c r="F148" s="4" t="n">
        <v>412</v>
      </c>
      <c r="I148" s="4" t="inlineStr"/>
    </row>
    <row r="149">
      <c r="C149" s="4" t="inlineStr">
        <is>
          <t>Tskjorte</t>
        </is>
      </c>
      <c r="D149" s="4" t="inlineStr">
        <is>
          <t>KJENSTADBAKK</t>
        </is>
      </c>
      <c r="E149" s="4" t="inlineStr"/>
      <c r="F149" s="4" t="n">
        <v>227</v>
      </c>
      <c r="I149" s="4" t="inlineStr"/>
    </row>
    <row r="150">
      <c r="C150" s="4" t="inlineStr">
        <is>
          <t>Tskjorte</t>
        </is>
      </c>
      <c r="D150" s="4" t="inlineStr">
        <is>
          <t>KJENSTADBAKK</t>
        </is>
      </c>
      <c r="E150" s="4" t="inlineStr"/>
      <c r="F150" s="4" t="n">
        <v>227</v>
      </c>
      <c r="I150" s="4" t="inlineStr"/>
    </row>
    <row r="151">
      <c r="B151" s="4" t="inlineStr">
        <is>
          <t>Siri Aasgard</t>
        </is>
      </c>
      <c r="C151" s="4" t="inlineStr">
        <is>
          <t>Crewneck</t>
        </is>
      </c>
      <c r="D151" s="4" t="inlineStr">
        <is>
          <t>AASGARD</t>
        </is>
      </c>
      <c r="E151" s="4" t="inlineStr"/>
      <c r="F151" s="4" t="n">
        <v>335</v>
      </c>
      <c r="G151" s="4">
        <f>SUM(f150:f153)</f>
        <v/>
      </c>
      <c r="I151" s="4" t="inlineStr"/>
    </row>
    <row r="152">
      <c r="C152" s="4" t="inlineStr">
        <is>
          <t>Oppvarmingsgenser</t>
        </is>
      </c>
      <c r="D152" s="4" t="inlineStr">
        <is>
          <t>AASGARD</t>
        </is>
      </c>
      <c r="E152" s="4" t="inlineStr"/>
      <c r="F152" s="4" t="n">
        <v>412</v>
      </c>
      <c r="I152" s="4" t="inlineStr"/>
    </row>
    <row r="153">
      <c r="C153" s="4" t="inlineStr">
        <is>
          <t>Tskjorte</t>
        </is>
      </c>
      <c r="D153" s="4" t="inlineStr">
        <is>
          <t>AASGARD</t>
        </is>
      </c>
      <c r="E153" s="4" t="inlineStr"/>
      <c r="F153" s="4" t="n">
        <v>227</v>
      </c>
      <c r="I153" s="4" t="inlineStr"/>
    </row>
    <row r="154">
      <c r="C154" s="4" t="inlineStr">
        <is>
          <t>Tskjorte</t>
        </is>
      </c>
      <c r="D154" s="4" t="inlineStr">
        <is>
          <t>AASGARD</t>
        </is>
      </c>
      <c r="E154" s="4" t="inlineStr"/>
      <c r="F154" s="4" t="n">
        <v>227</v>
      </c>
      <c r="I154" s="4" t="inlineStr"/>
    </row>
    <row r="155">
      <c r="A155" s="3" t="inlineStr">
        <is>
          <t>D2B</t>
        </is>
      </c>
      <c r="B155" s="5" t="inlineStr">
        <is>
          <t>Signe Granås</t>
        </is>
      </c>
      <c r="C155" s="5" t="inlineStr">
        <is>
          <t>Knebeskytter</t>
        </is>
      </c>
      <c r="D155" s="5" t="inlineStr"/>
      <c r="E155" s="5" t="inlineStr"/>
      <c r="F155" s="5" t="n">
        <v>321</v>
      </c>
      <c r="G155" s="5">
        <f>SUM(f154:f155)</f>
        <v/>
      </c>
      <c r="H155" s="5">
        <f>SUM(g154:g155)</f>
        <v/>
      </c>
      <c r="I155" s="5" t="inlineStr"/>
    </row>
    <row r="156">
      <c r="C156" s="5" t="inlineStr">
        <is>
          <t>Tskjorte</t>
        </is>
      </c>
      <c r="D156" s="5" t="inlineStr">
        <is>
          <t>GRANÅS</t>
        </is>
      </c>
      <c r="E156" s="5" t="inlineStr"/>
      <c r="F156" s="5" t="n">
        <v>227</v>
      </c>
      <c r="I156" s="5" t="inlineStr"/>
    </row>
    <row r="157">
      <c r="A157" s="3" t="inlineStr">
        <is>
          <t>D2C</t>
        </is>
      </c>
      <c r="B157" s="4" t="inlineStr">
        <is>
          <t>Lise Skaar Smines</t>
        </is>
      </c>
      <c r="C157" s="4" t="inlineStr">
        <is>
          <t>Crewneck</t>
        </is>
      </c>
      <c r="D157" s="4" t="inlineStr">
        <is>
          <t>SKAAR SMINES</t>
        </is>
      </c>
      <c r="E157" s="4" t="inlineStr"/>
      <c r="F157" s="4" t="n">
        <v>335</v>
      </c>
      <c r="G157" s="4">
        <f>SUM(f156:f162)</f>
        <v/>
      </c>
      <c r="H157" s="4">
        <f>SUM(g156:g162)</f>
        <v/>
      </c>
      <c r="I157" s="4" t="inlineStr"/>
    </row>
    <row r="158">
      <c r="C158" s="4" t="inlineStr">
        <is>
          <t>Hettejakke</t>
        </is>
      </c>
      <c r="D158" s="4" t="inlineStr">
        <is>
          <t>SKAAR SMINES</t>
        </is>
      </c>
      <c r="E158" s="4" t="n">
        <v>0</v>
      </c>
      <c r="F158" s="4" t="n">
        <v>453</v>
      </c>
      <c r="I158" s="4" t="inlineStr"/>
    </row>
    <row r="159">
      <c r="C159" s="4" t="inlineStr">
        <is>
          <t>Oppvarmingsgenser</t>
        </is>
      </c>
      <c r="D159" s="4" t="inlineStr">
        <is>
          <t>SKAAR SMINES</t>
        </is>
      </c>
      <c r="E159" s="4" t="inlineStr"/>
      <c r="F159" s="4" t="n">
        <v>412</v>
      </c>
      <c r="I159" s="4" t="inlineStr"/>
    </row>
    <row r="160">
      <c r="C160" s="4" t="inlineStr">
        <is>
          <t>Tskjorte</t>
        </is>
      </c>
      <c r="D160" s="4" t="inlineStr"/>
      <c r="E160" s="4" t="inlineStr"/>
      <c r="F160" s="4" t="n">
        <v>196</v>
      </c>
      <c r="I160" s="4" t="inlineStr"/>
    </row>
    <row r="161">
      <c r="C161" s="4" t="inlineStr">
        <is>
          <t>Tskjorte</t>
        </is>
      </c>
      <c r="D161" s="4" t="inlineStr"/>
      <c r="E161" s="4" t="inlineStr"/>
      <c r="F161" s="4" t="n">
        <v>196</v>
      </c>
      <c r="I161" s="4" t="inlineStr"/>
    </row>
    <row r="162">
      <c r="C162" s="4" t="inlineStr">
        <is>
          <t>Tskjorte</t>
        </is>
      </c>
      <c r="D162" s="4" t="inlineStr"/>
      <c r="E162" s="4" t="inlineStr"/>
      <c r="F162" s="4" t="n">
        <v>196</v>
      </c>
      <c r="I162" s="4" t="inlineStr"/>
    </row>
    <row r="163">
      <c r="C163" s="4" t="inlineStr">
        <is>
          <t>Tynn genser (bomull)</t>
        </is>
      </c>
      <c r="D163" s="4" t="inlineStr"/>
      <c r="E163" s="4" t="inlineStr"/>
      <c r="F163" s="4" t="n">
        <v>193</v>
      </c>
      <c r="I163" s="4" t="inlineStr"/>
    </row>
    <row r="164">
      <c r="A164" s="3" t="inlineStr">
        <is>
          <t>D3A</t>
        </is>
      </c>
      <c r="B164" s="5" t="inlineStr">
        <is>
          <t xml:space="preserve">Hannah Markhus </t>
        </is>
      </c>
      <c r="C164" s="5" t="inlineStr">
        <is>
          <t>Crewneck</t>
        </is>
      </c>
      <c r="D164" s="5" t="inlineStr">
        <is>
          <t>MARKHUS</t>
        </is>
      </c>
      <c r="E164" s="5" t="inlineStr"/>
      <c r="F164" s="5" t="n">
        <v>335</v>
      </c>
      <c r="G164" s="5">
        <f>SUM(f163:f164)</f>
        <v/>
      </c>
      <c r="H164" s="5">
        <f>SUM(g163:g164)</f>
        <v/>
      </c>
      <c r="I164" s="5" t="inlineStr"/>
    </row>
    <row r="165">
      <c r="C165" s="5" t="inlineStr">
        <is>
          <t>Tskjorte</t>
        </is>
      </c>
      <c r="D165" s="5" t="inlineStr">
        <is>
          <t>MARKHUS</t>
        </is>
      </c>
      <c r="E165" s="5" t="inlineStr"/>
      <c r="F165" s="5" t="n">
        <v>227</v>
      </c>
      <c r="I165" s="5" t="inlineStr"/>
    </row>
    <row r="166">
      <c r="A166" s="3" t="inlineStr">
        <is>
          <t>D3B</t>
        </is>
      </c>
      <c r="B166" s="4" t="inlineStr">
        <is>
          <t>Christel Berg</t>
        </is>
      </c>
      <c r="C166" s="4" t="inlineStr">
        <is>
          <t>Hettejakke</t>
        </is>
      </c>
      <c r="D166" s="4" t="inlineStr">
        <is>
          <t>BERG</t>
        </is>
      </c>
      <c r="E166" s="4" t="inlineStr"/>
      <c r="F166" s="4" t="n">
        <v>453</v>
      </c>
      <c r="G166" s="4">
        <f>SUM(f165:f167)</f>
        <v/>
      </c>
      <c r="H166" s="4">
        <f>SUM(g165:g170)</f>
        <v/>
      </c>
      <c r="I166" s="4" t="inlineStr"/>
    </row>
    <row r="167">
      <c r="C167" s="4" t="inlineStr">
        <is>
          <t>Tskjorte</t>
        </is>
      </c>
      <c r="D167" s="4" t="inlineStr">
        <is>
          <t>BERG</t>
        </is>
      </c>
      <c r="E167" s="4" t="inlineStr"/>
      <c r="F167" s="4" t="n">
        <v>227</v>
      </c>
      <c r="I167" s="4" t="inlineStr"/>
    </row>
    <row r="168">
      <c r="C168" s="4" t="inlineStr">
        <is>
          <t>Tskjorte</t>
        </is>
      </c>
      <c r="D168" s="4" t="inlineStr">
        <is>
          <t>BERG</t>
        </is>
      </c>
      <c r="E168" s="4" t="inlineStr"/>
      <c r="F168" s="4" t="n">
        <v>227</v>
      </c>
      <c r="I168" s="4" t="inlineStr"/>
    </row>
    <row r="169">
      <c r="B169" s="4" t="inlineStr">
        <is>
          <t>Lynn Ossege</t>
        </is>
      </c>
      <c r="C169" s="4" t="inlineStr">
        <is>
          <t>Half-zip</t>
        </is>
      </c>
      <c r="D169" s="4" t="inlineStr">
        <is>
          <t>OSSEGE</t>
        </is>
      </c>
      <c r="E169" s="4" t="inlineStr"/>
      <c r="F169" s="4" t="n">
        <v>453</v>
      </c>
      <c r="G169" s="4">
        <f>SUM(f168:f169)</f>
        <v/>
      </c>
      <c r="I169" s="4" t="inlineStr"/>
    </row>
    <row r="170">
      <c r="C170" s="4" t="inlineStr">
        <is>
          <t>Tskjorte</t>
        </is>
      </c>
      <c r="D170" s="4" t="inlineStr">
        <is>
          <t>OSSEGE</t>
        </is>
      </c>
      <c r="E170" s="4" t="inlineStr"/>
      <c r="F170" s="4" t="n">
        <v>227</v>
      </c>
      <c r="I170" s="4" t="inlineStr"/>
    </row>
    <row r="171">
      <c r="B171" s="4" t="inlineStr">
        <is>
          <t>Sofia Stenrød</t>
        </is>
      </c>
      <c r="C171" s="4" t="inlineStr">
        <is>
          <t>Oppvarmingsgenser</t>
        </is>
      </c>
      <c r="D171" s="4" t="inlineStr"/>
      <c r="E171" s="4" t="inlineStr"/>
      <c r="F171" s="4" t="n">
        <v>351</v>
      </c>
      <c r="G171" s="4">
        <f>SUM(f170:f170)</f>
        <v/>
      </c>
      <c r="I171" s="4" t="inlineStr"/>
    </row>
    <row r="172">
      <c r="A172" s="3" t="inlineStr">
        <is>
          <t>D3C</t>
        </is>
      </c>
      <c r="B172" s="5" t="inlineStr">
        <is>
          <t>Emma Matilda Silje Pontén Fredman</t>
        </is>
      </c>
      <c r="C172" s="5" t="inlineStr">
        <is>
          <t>Tskjorte</t>
        </is>
      </c>
      <c r="D172" s="5" t="inlineStr">
        <is>
          <t>PONTÉN</t>
        </is>
      </c>
      <c r="E172" s="5" t="inlineStr"/>
      <c r="F172" s="5" t="n">
        <v>227</v>
      </c>
      <c r="G172" s="5">
        <f>SUM(f171:f171)</f>
        <v/>
      </c>
      <c r="H172" s="5">
        <f>SUM(g171:g183)</f>
        <v/>
      </c>
      <c r="I172" s="5" t="inlineStr"/>
    </row>
    <row r="173">
      <c r="B173" s="5" t="inlineStr">
        <is>
          <t xml:space="preserve">Ingse Aasenhuus </t>
        </is>
      </c>
      <c r="C173" s="5" t="inlineStr">
        <is>
          <t>Tskjorte</t>
        </is>
      </c>
      <c r="D173" s="5" t="inlineStr">
        <is>
          <t xml:space="preserve">AASENHUUS </t>
        </is>
      </c>
      <c r="E173" s="5" t="inlineStr"/>
      <c r="F173" s="5" t="n">
        <v>227</v>
      </c>
      <c r="G173" s="5">
        <f>SUM(f172:f172)</f>
        <v/>
      </c>
      <c r="I173" s="5" t="inlineStr"/>
    </row>
    <row r="174">
      <c r="B174" s="5" t="inlineStr">
        <is>
          <t>Islam Qraiqe</t>
        </is>
      </c>
      <c r="C174" s="5" t="inlineStr">
        <is>
          <t>Knebeskytter</t>
        </is>
      </c>
      <c r="D174" s="5" t="inlineStr"/>
      <c r="E174" s="5" t="inlineStr"/>
      <c r="F174" s="5" t="n">
        <v>321</v>
      </c>
      <c r="G174" s="5">
        <f>SUM(f173:f178)</f>
        <v/>
      </c>
      <c r="I174" s="5" t="inlineStr"/>
    </row>
    <row r="175">
      <c r="C175" s="5" t="inlineStr">
        <is>
          <t>Shorts (dame)</t>
        </is>
      </c>
      <c r="D175" s="5" t="inlineStr"/>
      <c r="E175" s="5" t="inlineStr"/>
      <c r="F175" s="5" t="n">
        <v>259</v>
      </c>
      <c r="I175" s="5" t="inlineStr"/>
    </row>
    <row r="176">
      <c r="C176" s="5" t="inlineStr">
        <is>
          <t>Sleeves</t>
        </is>
      </c>
      <c r="D176" s="5" t="inlineStr"/>
      <c r="E176" s="5" t="inlineStr"/>
      <c r="F176" s="5" t="n">
        <v>179</v>
      </c>
      <c r="I176" s="5" t="inlineStr"/>
    </row>
    <row r="177">
      <c r="C177" s="5" t="inlineStr">
        <is>
          <t>Tskjorte</t>
        </is>
      </c>
      <c r="D177" s="5" t="inlineStr">
        <is>
          <t>QRAIQE</t>
        </is>
      </c>
      <c r="E177" s="5" t="inlineStr"/>
      <c r="F177" s="5" t="n">
        <v>227</v>
      </c>
      <c r="I177" s="5" t="inlineStr"/>
    </row>
    <row r="178">
      <c r="C178" s="5" t="inlineStr">
        <is>
          <t>Tskjorte</t>
        </is>
      </c>
      <c r="D178" s="5" t="inlineStr">
        <is>
          <t>QRAIQE</t>
        </is>
      </c>
      <c r="E178" s="5" t="inlineStr"/>
      <c r="F178" s="5" t="n">
        <v>227</v>
      </c>
      <c r="I178" s="5" t="inlineStr"/>
    </row>
    <row r="179">
      <c r="C179" s="5" t="inlineStr">
        <is>
          <t>Tskjorte</t>
        </is>
      </c>
      <c r="D179" s="5" t="inlineStr">
        <is>
          <t>QRAIQE</t>
        </is>
      </c>
      <c r="E179" s="5" t="inlineStr"/>
      <c r="F179" s="5" t="n">
        <v>227</v>
      </c>
      <c r="I179" s="5" t="inlineStr"/>
    </row>
    <row r="180">
      <c r="B180" s="5" t="inlineStr">
        <is>
          <t>Mari Nielsen Sollesnes</t>
        </is>
      </c>
      <c r="C180" s="5" t="inlineStr">
        <is>
          <t>Half-zip</t>
        </is>
      </c>
      <c r="D180" s="5" t="inlineStr"/>
      <c r="E180" s="5" t="inlineStr"/>
      <c r="F180" s="5" t="n">
        <v>422</v>
      </c>
      <c r="G180" s="5">
        <f>SUM(f179:f181)</f>
        <v/>
      </c>
      <c r="I180" s="5" t="inlineStr"/>
    </row>
    <row r="181">
      <c r="C181" s="5" t="inlineStr">
        <is>
          <t>Shorts (dame)</t>
        </is>
      </c>
      <c r="D181" s="5" t="inlineStr"/>
      <c r="E181" s="5" t="inlineStr"/>
      <c r="F181" s="5" t="n">
        <v>259</v>
      </c>
      <c r="I181" s="5" t="inlineStr"/>
    </row>
    <row r="182">
      <c r="C182" s="5" t="inlineStr">
        <is>
          <t>Tskjorte</t>
        </is>
      </c>
      <c r="D182" s="5" t="inlineStr"/>
      <c r="E182" s="5" t="inlineStr"/>
      <c r="F182" s="5" t="n">
        <v>196</v>
      </c>
      <c r="I182" s="5" t="inlineStr"/>
    </row>
    <row r="183">
      <c r="B183" s="5" t="inlineStr">
        <is>
          <t>Pia Bjørgum Gauthier</t>
        </is>
      </c>
      <c r="C183" s="5" t="inlineStr">
        <is>
          <t>Tskjorte</t>
        </is>
      </c>
      <c r="D183" s="5" t="inlineStr">
        <is>
          <t>GAUTHIER</t>
        </is>
      </c>
      <c r="E183" s="5" t="inlineStr"/>
      <c r="F183" s="5" t="n">
        <v>227</v>
      </c>
      <c r="G183" s="5">
        <f>SUM(f182:f183)</f>
        <v/>
      </c>
      <c r="I183" s="5" t="inlineStr">
        <is>
          <t>To svarte tskjorter med navn på begge:)</t>
        </is>
      </c>
    </row>
    <row r="184">
      <c r="C184" s="5" t="inlineStr">
        <is>
          <t>Tskjorte</t>
        </is>
      </c>
      <c r="D184" s="5" t="inlineStr">
        <is>
          <t>GAUTHIER</t>
        </is>
      </c>
      <c r="E184" s="5" t="inlineStr"/>
      <c r="F184" s="5" t="n">
        <v>227</v>
      </c>
      <c r="I184" s="5" t="inlineStr">
        <is>
          <t>To svarte tskjorter med navn på begge:)</t>
        </is>
      </c>
    </row>
    <row r="185">
      <c r="A185" s="3" t="inlineStr">
        <is>
          <t>D-Bredde</t>
        </is>
      </c>
      <c r="B185" s="4" t="inlineStr">
        <is>
          <t>Ronja Anneke Gundersen</t>
        </is>
      </c>
      <c r="C185" s="4" t="inlineStr">
        <is>
          <t>Hettejakke</t>
        </is>
      </c>
      <c r="D185" s="4" t="inlineStr">
        <is>
          <t>GUNDERSEN</t>
        </is>
      </c>
      <c r="E185" s="4" t="inlineStr"/>
      <c r="F185" s="4" t="n">
        <v>453</v>
      </c>
      <c r="G185" s="4">
        <f>SUM(f184:f187)</f>
        <v/>
      </c>
      <c r="H185" s="4">
        <f>SUM(g184:g187)</f>
        <v/>
      </c>
      <c r="I185" s="4" t="inlineStr"/>
    </row>
    <row r="186">
      <c r="C186" s="4" t="inlineStr">
        <is>
          <t>Oppvarmingsgenser</t>
        </is>
      </c>
      <c r="D186" s="4" t="inlineStr">
        <is>
          <t>GUNDERSEN</t>
        </is>
      </c>
      <c r="E186" s="4" t="inlineStr"/>
      <c r="F186" s="4" t="n">
        <v>412</v>
      </c>
      <c r="I186" s="4" t="inlineStr"/>
    </row>
    <row r="187">
      <c r="C187" s="4" t="inlineStr">
        <is>
          <t>Tskjorte</t>
        </is>
      </c>
      <c r="D187" s="4" t="inlineStr"/>
      <c r="E187" s="4" t="inlineStr"/>
      <c r="F187" s="4" t="n">
        <v>196</v>
      </c>
      <c r="I187" s="4" t="inlineStr"/>
    </row>
    <row r="188">
      <c r="C188" s="4" t="inlineStr">
        <is>
          <t>Tskjorte</t>
        </is>
      </c>
      <c r="D188" s="4" t="inlineStr"/>
      <c r="E188" s="4" t="inlineStr"/>
      <c r="F188" s="4" t="n">
        <v>196</v>
      </c>
      <c r="I188" s="4" t="inlineStr"/>
    </row>
  </sheetData>
  <mergeCells count="124">
    <mergeCell ref="G88"/>
    <mergeCell ref="G3:G11"/>
    <mergeCell ref="B61:B62"/>
    <mergeCell ref="B107:B113"/>
    <mergeCell ref="G104:G106"/>
    <mergeCell ref="A172:A184"/>
    <mergeCell ref="H142:H154"/>
    <mergeCell ref="B146:B150"/>
    <mergeCell ref="G63:G67"/>
    <mergeCell ref="G173"/>
    <mergeCell ref="G41:G54"/>
    <mergeCell ref="A164:A165"/>
    <mergeCell ref="B36:B40"/>
    <mergeCell ref="A119:A141"/>
    <mergeCell ref="B183:B184"/>
    <mergeCell ref="B174:B179"/>
    <mergeCell ref="G89:G92"/>
    <mergeCell ref="B22:B26"/>
    <mergeCell ref="B12:B18"/>
    <mergeCell ref="G116:G118"/>
    <mergeCell ref="G138:G141"/>
    <mergeCell ref="B142:B145"/>
    <mergeCell ref="G76:G79"/>
    <mergeCell ref="G172"/>
    <mergeCell ref="B114:B115"/>
    <mergeCell ref="B88"/>
    <mergeCell ref="B169:B170"/>
    <mergeCell ref="G183:G184"/>
    <mergeCell ref="B98:B100"/>
    <mergeCell ref="G107:G113"/>
    <mergeCell ref="B185:B188"/>
    <mergeCell ref="H119:H141"/>
    <mergeCell ref="G146:G150"/>
    <mergeCell ref="B128:B130"/>
    <mergeCell ref="G136:G137"/>
    <mergeCell ref="B155:B156"/>
    <mergeCell ref="B122:B125"/>
    <mergeCell ref="A166:A171"/>
    <mergeCell ref="G169:G170"/>
    <mergeCell ref="H3:H40"/>
    <mergeCell ref="H164:H165"/>
    <mergeCell ref="G27:G34"/>
    <mergeCell ref="G185:G188"/>
    <mergeCell ref="G151:G154"/>
    <mergeCell ref="G122:G125"/>
    <mergeCell ref="B173"/>
    <mergeCell ref="G119:G121"/>
    <mergeCell ref="A107:A118"/>
    <mergeCell ref="B85:B87"/>
    <mergeCell ref="G22:G26"/>
    <mergeCell ref="B27:B34"/>
    <mergeCell ref="G142:G145"/>
    <mergeCell ref="G114:G115"/>
    <mergeCell ref="B180:B182"/>
    <mergeCell ref="G98:G100"/>
    <mergeCell ref="B93:B97"/>
    <mergeCell ref="H88"/>
    <mergeCell ref="B55:B58"/>
    <mergeCell ref="G155:G156"/>
    <mergeCell ref="H172:H184"/>
    <mergeCell ref="B166:B168"/>
    <mergeCell ref="B68:B75"/>
    <mergeCell ref="A1:I1"/>
    <mergeCell ref="B3:B11"/>
    <mergeCell ref="H166:H171"/>
    <mergeCell ref="G19:G21"/>
    <mergeCell ref="H185:H188"/>
    <mergeCell ref="A142:A154"/>
    <mergeCell ref="G61:G62"/>
    <mergeCell ref="G126:G127"/>
    <mergeCell ref="B157:B163"/>
    <mergeCell ref="H104:H106"/>
    <mergeCell ref="G85:G87"/>
    <mergeCell ref="H107:H118"/>
    <mergeCell ref="B35"/>
    <mergeCell ref="B63:B67"/>
    <mergeCell ref="A41:A75"/>
    <mergeCell ref="B41:B54"/>
    <mergeCell ref="A89:A103"/>
    <mergeCell ref="H155:H156"/>
    <mergeCell ref="B131:B135"/>
    <mergeCell ref="G12:G18"/>
    <mergeCell ref="G55:G58"/>
    <mergeCell ref="G166:G168"/>
    <mergeCell ref="G68:G75"/>
    <mergeCell ref="A185:A188"/>
    <mergeCell ref="B164:B165"/>
    <mergeCell ref="B101:B103"/>
    <mergeCell ref="A155:A156"/>
    <mergeCell ref="B116:B118"/>
    <mergeCell ref="B126:B127"/>
    <mergeCell ref="G171"/>
    <mergeCell ref="G157:G163"/>
    <mergeCell ref="A104:A106"/>
    <mergeCell ref="A3:A40"/>
    <mergeCell ref="G164:G165"/>
    <mergeCell ref="B19:B21"/>
    <mergeCell ref="G128:G130"/>
    <mergeCell ref="B119:B121"/>
    <mergeCell ref="G35"/>
    <mergeCell ref="H157:H163"/>
    <mergeCell ref="B136:B137"/>
    <mergeCell ref="G80:G84"/>
    <mergeCell ref="H41:H75"/>
    <mergeCell ref="H89:H103"/>
    <mergeCell ref="G131:G135"/>
    <mergeCell ref="H76:H87"/>
    <mergeCell ref="B104:B106"/>
    <mergeCell ref="B151:B154"/>
    <mergeCell ref="G174:G179"/>
    <mergeCell ref="B80:B84"/>
    <mergeCell ref="G101:G103"/>
    <mergeCell ref="G36:G40"/>
    <mergeCell ref="G59:G60"/>
    <mergeCell ref="A157:A163"/>
    <mergeCell ref="A76:A87"/>
    <mergeCell ref="B171"/>
    <mergeCell ref="B89:B92"/>
    <mergeCell ref="B138:B141"/>
    <mergeCell ref="B172"/>
    <mergeCell ref="B76:B79"/>
    <mergeCell ref="G93:G97"/>
    <mergeCell ref="G180:G182"/>
    <mergeCell ref="B59:B6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Bestillingsskjema NTNUI Volleyball</t>
        </is>
      </c>
    </row>
    <row r="2">
      <c r="A2" s="2" t="inlineStr">
        <is>
          <t>Lag</t>
        </is>
      </c>
      <c r="B2" s="2" t="inlineStr">
        <is>
          <t>Navn</t>
        </is>
      </c>
      <c r="C2" s="2" t="inlineStr">
        <is>
          <t>Produkt</t>
        </is>
      </c>
      <c r="D2" s="2" t="inlineStr">
        <is>
          <t>Trykk?</t>
        </is>
      </c>
      <c r="E2" s="2" t="inlineStr">
        <is>
          <t>Trenerrabatt</t>
        </is>
      </c>
      <c r="F2" s="2" t="inlineStr">
        <is>
          <t>Kostnad enkelt produkt</t>
        </is>
      </c>
      <c r="G2" s="2" t="inlineStr">
        <is>
          <t>Kostnad enkelt personer</t>
        </is>
      </c>
      <c r="H2" s="2" t="inlineStr">
        <is>
          <t>Totalt per lag</t>
        </is>
      </c>
      <c r="I2" s="2" t="inlineStr">
        <is>
          <t>Kommmentar</t>
        </is>
      </c>
    </row>
    <row r="3">
      <c r="A3" s="3" t="inlineStr">
        <is>
          <t>H-ELITE</t>
        </is>
      </c>
      <c r="B3" s="4" t="inlineStr">
        <is>
          <t>Daniel Klopstad</t>
        </is>
      </c>
      <c r="C3" s="4" t="inlineStr">
        <is>
          <t>Oppvarmingsgenser</t>
        </is>
      </c>
      <c r="D3" s="4" t="inlineStr"/>
      <c r="E3" s="4" t="inlineStr"/>
      <c r="F3" s="4" t="n">
        <v>351</v>
      </c>
      <c r="G3" s="4">
        <f>SUM(f2:f10)</f>
        <v/>
      </c>
      <c r="H3" s="4">
        <f>SUM(g2:g39)</f>
        <v/>
      </c>
      <c r="I3" s="4" t="inlineStr"/>
    </row>
    <row r="4">
      <c r="C4" s="4" t="inlineStr">
        <is>
          <t>Shorts (herre)</t>
        </is>
      </c>
      <c r="D4" s="4" t="inlineStr"/>
      <c r="E4" s="4" t="inlineStr"/>
      <c r="F4" s="4" t="n">
        <v>188</v>
      </c>
      <c r="I4" s="4" t="inlineStr"/>
    </row>
    <row r="5">
      <c r="C5" s="4" t="inlineStr">
        <is>
          <t>Shorts (herre)</t>
        </is>
      </c>
      <c r="D5" s="4" t="inlineStr"/>
      <c r="E5" s="4" t="inlineStr"/>
      <c r="F5" s="4" t="n">
        <v>188</v>
      </c>
      <c r="I5" s="4" t="inlineStr"/>
    </row>
    <row r="6">
      <c r="C6" s="4" t="inlineStr">
        <is>
          <t>Shorts (herre)</t>
        </is>
      </c>
      <c r="D6" s="4" t="inlineStr"/>
      <c r="E6" s="4" t="inlineStr"/>
      <c r="F6" s="4" t="n">
        <v>188</v>
      </c>
      <c r="I6" s="4" t="inlineStr"/>
    </row>
    <row r="7">
      <c r="C7" s="4" t="inlineStr">
        <is>
          <t>Tskjorte</t>
        </is>
      </c>
      <c r="D7" s="4" t="inlineStr"/>
      <c r="E7" s="4" t="inlineStr"/>
      <c r="F7" s="4" t="n">
        <v>196</v>
      </c>
      <c r="I7" s="4" t="inlineStr"/>
    </row>
    <row r="8">
      <c r="C8" s="4" t="inlineStr">
        <is>
          <t>Tskjorte</t>
        </is>
      </c>
      <c r="D8" s="4" t="inlineStr"/>
      <c r="E8" s="4" t="inlineStr"/>
      <c r="F8" s="4" t="n">
        <v>196</v>
      </c>
      <c r="I8" s="4" t="inlineStr"/>
    </row>
    <row r="9">
      <c r="C9" s="4" t="inlineStr">
        <is>
          <t>Tskjorte</t>
        </is>
      </c>
      <c r="D9" s="4" t="inlineStr"/>
      <c r="E9" s="4" t="inlineStr"/>
      <c r="F9" s="4" t="n">
        <v>196</v>
      </c>
      <c r="I9" s="4" t="inlineStr"/>
    </row>
    <row r="10">
      <c r="C10" s="4" t="inlineStr">
        <is>
          <t>Tskjorte</t>
        </is>
      </c>
      <c r="D10" s="4" t="inlineStr"/>
      <c r="E10" s="4" t="inlineStr"/>
      <c r="F10" s="4" t="n">
        <v>196</v>
      </c>
      <c r="I10" s="4" t="inlineStr"/>
    </row>
    <row r="11">
      <c r="C11" s="4" t="inlineStr">
        <is>
          <t>Tskjorte</t>
        </is>
      </c>
      <c r="D11" s="4" t="inlineStr"/>
      <c r="E11" s="4" t="inlineStr"/>
      <c r="F11" s="4" t="n">
        <v>196</v>
      </c>
      <c r="I11" s="4" t="inlineStr"/>
    </row>
    <row r="12">
      <c r="B12" s="4" t="inlineStr">
        <is>
          <t>Frithjof Moe Slinning</t>
        </is>
      </c>
      <c r="C12" s="4" t="inlineStr">
        <is>
          <t>Bag (38L)</t>
        </is>
      </c>
      <c r="D12" s="4" t="inlineStr"/>
      <c r="E12" s="4" t="inlineStr"/>
      <c r="F12" s="4" t="n">
        <v>391</v>
      </c>
      <c r="G12" s="4">
        <f>SUM(f11:f17)</f>
        <v/>
      </c>
      <c r="I12" s="4" t="inlineStr"/>
    </row>
    <row r="13">
      <c r="C13" s="4" t="inlineStr">
        <is>
          <t>Hettejakke</t>
        </is>
      </c>
      <c r="D13" s="4" t="inlineStr">
        <is>
          <t>SLINNING</t>
        </is>
      </c>
      <c r="E13" s="4" t="n">
        <v>210</v>
      </c>
      <c r="F13" s="4" t="n">
        <v>243</v>
      </c>
      <c r="I13" s="4" t="inlineStr"/>
    </row>
    <row r="14">
      <c r="C14" s="4" t="inlineStr">
        <is>
          <t>Shorts (herre)</t>
        </is>
      </c>
      <c r="D14" s="4" t="inlineStr"/>
      <c r="E14" s="4" t="inlineStr"/>
      <c r="F14" s="4" t="n">
        <v>188</v>
      </c>
      <c r="I14" s="4" t="inlineStr"/>
    </row>
    <row r="15">
      <c r="C15" s="4" t="inlineStr">
        <is>
          <t>Shorts (herre)</t>
        </is>
      </c>
      <c r="D15" s="4" t="inlineStr"/>
      <c r="E15" s="4" t="inlineStr"/>
      <c r="F15" s="4" t="n">
        <v>188</v>
      </c>
      <c r="I15" s="4" t="inlineStr"/>
    </row>
    <row r="16">
      <c r="C16" s="4" t="inlineStr">
        <is>
          <t>Tskjorte</t>
        </is>
      </c>
      <c r="D16" s="4" t="inlineStr">
        <is>
          <t>SLINNING</t>
        </is>
      </c>
      <c r="E16" s="4" t="inlineStr"/>
      <c r="F16" s="4" t="n">
        <v>227</v>
      </c>
      <c r="I16" s="4" t="inlineStr">
        <is>
          <t>1 svart med navn, 1svart og 1 hvit uten navn</t>
        </is>
      </c>
    </row>
    <row r="17">
      <c r="C17" s="4" t="inlineStr">
        <is>
          <t>Tskjorte</t>
        </is>
      </c>
      <c r="D17" s="4" t="inlineStr">
        <is>
          <t>SLINNING</t>
        </is>
      </c>
      <c r="E17" s="4" t="inlineStr"/>
      <c r="F17" s="4" t="n">
        <v>227</v>
      </c>
      <c r="I17" s="4" t="inlineStr">
        <is>
          <t>1 svart med navn, 1svart og 1 hvit uten navn</t>
        </is>
      </c>
    </row>
    <row r="18">
      <c r="C18" s="4" t="inlineStr">
        <is>
          <t>Tskjorte</t>
        </is>
      </c>
      <c r="D18" s="4" t="inlineStr">
        <is>
          <t>SLINNING</t>
        </is>
      </c>
      <c r="E18" s="4" t="inlineStr"/>
      <c r="F18" s="4" t="n">
        <v>227</v>
      </c>
      <c r="I18" s="4" t="inlineStr">
        <is>
          <t>1 svart med navn, 1svart og 1 hvit uten navn</t>
        </is>
      </c>
    </row>
    <row r="19">
      <c r="B19" s="4" t="inlineStr">
        <is>
          <t>Jonas Dormagen-Taraldsrud</t>
        </is>
      </c>
      <c r="C19" s="4" t="inlineStr">
        <is>
          <t>Shorts (herre)</t>
        </is>
      </c>
      <c r="D19" s="4" t="inlineStr"/>
      <c r="E19" s="4" t="inlineStr"/>
      <c r="F19" s="4" t="n">
        <v>188</v>
      </c>
      <c r="G19" s="4">
        <f>SUM(f18:f20)</f>
        <v/>
      </c>
      <c r="I19" s="4" t="inlineStr"/>
    </row>
    <row r="20">
      <c r="C20" s="4" t="inlineStr">
        <is>
          <t>Tskjorte</t>
        </is>
      </c>
      <c r="D20" s="4" t="inlineStr"/>
      <c r="E20" s="4" t="inlineStr"/>
      <c r="F20" s="4" t="n">
        <v>196</v>
      </c>
      <c r="I20" s="4" t="inlineStr"/>
    </row>
    <row r="21">
      <c r="C21" s="4" t="inlineStr">
        <is>
          <t>Tskjorte</t>
        </is>
      </c>
      <c r="D21" s="4" t="inlineStr"/>
      <c r="E21" s="4" t="inlineStr"/>
      <c r="F21" s="4" t="n">
        <v>196</v>
      </c>
      <c r="I21" s="4" t="inlineStr"/>
    </row>
    <row r="22">
      <c r="B22" s="4" t="inlineStr">
        <is>
          <t>Kjell Eike Machalowsky</t>
        </is>
      </c>
      <c r="C22" s="4" t="inlineStr">
        <is>
          <t>Hettegenser</t>
        </is>
      </c>
      <c r="D22" s="4" t="inlineStr">
        <is>
          <t>MACHALOWSKY</t>
        </is>
      </c>
      <c r="E22" s="4" t="inlineStr"/>
      <c r="F22" s="4" t="n">
        <v>367</v>
      </c>
      <c r="G22" s="4">
        <f>SUM(f21:f25)</f>
        <v/>
      </c>
      <c r="I22" s="4" t="inlineStr"/>
    </row>
    <row r="23">
      <c r="C23" s="4" t="inlineStr">
        <is>
          <t>Shorts (herre)</t>
        </is>
      </c>
      <c r="D23" s="4" t="inlineStr"/>
      <c r="E23" s="4" t="inlineStr"/>
      <c r="F23" s="4" t="n">
        <v>188</v>
      </c>
      <c r="I23" s="4" t="inlineStr"/>
    </row>
    <row r="24">
      <c r="C24" s="4" t="inlineStr">
        <is>
          <t>Tskjorte</t>
        </is>
      </c>
      <c r="D24" s="4" t="inlineStr">
        <is>
          <t>MACHALOWSKY</t>
        </is>
      </c>
      <c r="E24" s="4" t="inlineStr"/>
      <c r="F24" s="4" t="n">
        <v>227</v>
      </c>
      <c r="I24" s="4" t="inlineStr">
        <is>
          <t>men's sizes</t>
        </is>
      </c>
    </row>
    <row r="25">
      <c r="C25" s="4" t="inlineStr">
        <is>
          <t>Tskjorte</t>
        </is>
      </c>
      <c r="D25" s="4" t="inlineStr">
        <is>
          <t>MACHALOWSKY</t>
        </is>
      </c>
      <c r="E25" s="4" t="inlineStr"/>
      <c r="F25" s="4" t="n">
        <v>227</v>
      </c>
      <c r="I25" s="4" t="inlineStr">
        <is>
          <t>men's sizes</t>
        </is>
      </c>
    </row>
    <row r="26">
      <c r="C26" s="4" t="inlineStr">
        <is>
          <t>Tynn genser (bomull)</t>
        </is>
      </c>
      <c r="D26" s="4" t="inlineStr"/>
      <c r="E26" s="4" t="inlineStr"/>
      <c r="F26" s="4" t="n">
        <v>193</v>
      </c>
      <c r="I26" s="4" t="inlineStr"/>
    </row>
    <row r="27">
      <c r="B27" s="4" t="inlineStr">
        <is>
          <t>Ludvik Mathias Grasdal</t>
        </is>
      </c>
      <c r="C27" s="4" t="inlineStr">
        <is>
          <t>Bag (38L)</t>
        </is>
      </c>
      <c r="D27" s="4" t="inlineStr"/>
      <c r="E27" s="4" t="inlineStr"/>
      <c r="F27" s="4" t="n">
        <v>391</v>
      </c>
      <c r="G27" s="4">
        <f>SUM(f26:f33)</f>
        <v/>
      </c>
      <c r="I27" s="4" t="inlineStr"/>
    </row>
    <row r="28">
      <c r="C28" s="4" t="inlineStr">
        <is>
          <t>Half-zip</t>
        </is>
      </c>
      <c r="D28" s="4" t="inlineStr">
        <is>
          <t>Grasdal</t>
        </is>
      </c>
      <c r="E28" s="4" t="inlineStr"/>
      <c r="F28" s="4" t="n">
        <v>453</v>
      </c>
      <c r="I28" s="4" t="inlineStr"/>
    </row>
    <row r="29">
      <c r="C29" s="4" t="inlineStr">
        <is>
          <t>Hettejakke</t>
        </is>
      </c>
      <c r="D29" s="4" t="inlineStr">
        <is>
          <t>COACH</t>
        </is>
      </c>
      <c r="E29" s="4" t="n">
        <v>0</v>
      </c>
      <c r="F29" s="4" t="n">
        <v>453</v>
      </c>
      <c r="I29" s="4" t="inlineStr">
        <is>
          <t>Ludvik Mathias Grasdal er ikke trener?</t>
        </is>
      </c>
    </row>
    <row r="30">
      <c r="C30" s="4" t="inlineStr">
        <is>
          <t>Shorts (herre)</t>
        </is>
      </c>
      <c r="D30" s="4" t="inlineStr"/>
      <c r="E30" s="4" t="inlineStr"/>
      <c r="F30" s="4" t="n">
        <v>188</v>
      </c>
      <c r="I30" s="4" t="inlineStr"/>
    </row>
    <row r="31">
      <c r="C31" s="4" t="inlineStr">
        <is>
          <t>Shorts (herre)</t>
        </is>
      </c>
      <c r="D31" s="4" t="inlineStr"/>
      <c r="E31" s="4" t="inlineStr"/>
      <c r="F31" s="4" t="n">
        <v>188</v>
      </c>
      <c r="I31" s="4" t="inlineStr"/>
    </row>
    <row r="32">
      <c r="C32" s="4" t="inlineStr">
        <is>
          <t>Tskjorte</t>
        </is>
      </c>
      <c r="D32" s="4" t="inlineStr">
        <is>
          <t>GRASDAL</t>
        </is>
      </c>
      <c r="E32" s="4" t="inlineStr"/>
      <c r="F32" s="4" t="n">
        <v>227</v>
      </c>
      <c r="I32" s="4" t="inlineStr"/>
    </row>
    <row r="33">
      <c r="C33" s="4" t="inlineStr">
        <is>
          <t>Tskjorte</t>
        </is>
      </c>
      <c r="D33" s="4" t="inlineStr">
        <is>
          <t>GRASDAL</t>
        </is>
      </c>
      <c r="E33" s="4" t="inlineStr"/>
      <c r="F33" s="4" t="n">
        <v>227</v>
      </c>
      <c r="I33" s="4" t="inlineStr"/>
    </row>
    <row r="34">
      <c r="C34" s="4" t="inlineStr">
        <is>
          <t>Tskjorte</t>
        </is>
      </c>
      <c r="D34" s="4" t="inlineStr">
        <is>
          <t>GRASDAL</t>
        </is>
      </c>
      <c r="E34" s="4" t="inlineStr"/>
      <c r="F34" s="4" t="n">
        <v>227</v>
      </c>
      <c r="I34" s="4" t="inlineStr"/>
    </row>
    <row r="35">
      <c r="B35" s="4" t="inlineStr">
        <is>
          <t>Simon Klopstad</t>
        </is>
      </c>
      <c r="C35" s="4" t="inlineStr">
        <is>
          <t>Oppvarmingsgenser</t>
        </is>
      </c>
      <c r="D35" s="4" t="inlineStr">
        <is>
          <t>KLOPSTAD</t>
        </is>
      </c>
      <c r="E35" s="4" t="inlineStr"/>
      <c r="F35" s="4" t="n">
        <v>412</v>
      </c>
      <c r="G35" s="4">
        <f>SUM(f34:f34)</f>
        <v/>
      </c>
      <c r="I35" s="4" t="inlineStr"/>
    </row>
    <row r="36">
      <c r="B36" s="4" t="inlineStr">
        <is>
          <t>Weston Kirchman</t>
        </is>
      </c>
      <c r="C36" s="4" t="inlineStr">
        <is>
          <t>Crewneck</t>
        </is>
      </c>
      <c r="D36" s="4" t="inlineStr">
        <is>
          <t>KIRCHMAN</t>
        </is>
      </c>
      <c r="E36" s="4" t="inlineStr"/>
      <c r="F36" s="4" t="n">
        <v>335</v>
      </c>
      <c r="G36" s="4">
        <f>SUM(f35:f39)</f>
        <v/>
      </c>
      <c r="I36" s="4" t="inlineStr"/>
    </row>
    <row r="37">
      <c r="C37" s="4" t="inlineStr">
        <is>
          <t>Shorts (herre)</t>
        </is>
      </c>
      <c r="D37" s="4" t="inlineStr"/>
      <c r="E37" s="4" t="inlineStr"/>
      <c r="F37" s="4" t="n">
        <v>188</v>
      </c>
      <c r="I37" s="4" t="inlineStr"/>
    </row>
    <row r="38">
      <c r="C38" s="4" t="inlineStr">
        <is>
          <t>Shorts (herre)</t>
        </is>
      </c>
      <c r="D38" s="4" t="inlineStr"/>
      <c r="E38" s="4" t="inlineStr"/>
      <c r="F38" s="4" t="n">
        <v>188</v>
      </c>
      <c r="I38" s="4" t="inlineStr"/>
    </row>
    <row r="39">
      <c r="C39" s="4" t="inlineStr">
        <is>
          <t>Tskjorte</t>
        </is>
      </c>
      <c r="D39" s="4" t="inlineStr"/>
      <c r="E39" s="4" t="inlineStr"/>
      <c r="F39" s="4" t="n">
        <v>196</v>
      </c>
      <c r="I39" s="4" t="inlineStr"/>
    </row>
    <row r="40">
      <c r="C40" s="4" t="inlineStr">
        <is>
          <t>Tynn genser (bomull)</t>
        </is>
      </c>
      <c r="D40" s="4" t="inlineStr"/>
      <c r="E40" s="4" t="inlineStr"/>
      <c r="F40" s="4" t="n">
        <v>193</v>
      </c>
      <c r="I40" s="4" t="inlineStr"/>
    </row>
    <row r="41">
      <c r="A41" s="3" t="inlineStr">
        <is>
          <t>H1</t>
        </is>
      </c>
      <c r="B41" s="5" t="inlineStr">
        <is>
          <t>Ask Barø Lerfald</t>
        </is>
      </c>
      <c r="C41" s="5" t="inlineStr">
        <is>
          <t>Half-zip</t>
        </is>
      </c>
      <c r="D41" s="5" t="inlineStr">
        <is>
          <t>BARØ</t>
        </is>
      </c>
      <c r="E41" s="5" t="inlineStr"/>
      <c r="F41" s="5" t="n">
        <v>453</v>
      </c>
      <c r="G41" s="5">
        <f>SUM(f40:f53)</f>
        <v/>
      </c>
      <c r="H41" s="5">
        <f>SUM(g40:g74)</f>
        <v/>
      </c>
      <c r="I41" s="5" t="inlineStr"/>
    </row>
    <row r="42">
      <c r="C42" s="5" t="inlineStr">
        <is>
          <t>Hettejakke</t>
        </is>
      </c>
      <c r="D42" s="5" t="inlineStr">
        <is>
          <t>BARØ</t>
        </is>
      </c>
      <c r="E42" s="5" t="inlineStr"/>
      <c r="F42" s="5" t="n">
        <v>453</v>
      </c>
      <c r="I42" s="5" t="inlineStr"/>
    </row>
    <row r="43">
      <c r="C43" s="5" t="inlineStr">
        <is>
          <t>Joggebukse</t>
        </is>
      </c>
      <c r="D43" s="5" t="inlineStr"/>
      <c r="E43" s="5" t="inlineStr"/>
      <c r="F43" s="5" t="n">
        <v>279</v>
      </c>
      <c r="I43" s="5" t="inlineStr"/>
    </row>
    <row r="44">
      <c r="C44" s="5" t="inlineStr">
        <is>
          <t>Joggebukse</t>
        </is>
      </c>
      <c r="D44" s="5" t="inlineStr"/>
      <c r="E44" s="5" t="inlineStr"/>
      <c r="F44" s="5" t="n">
        <v>279</v>
      </c>
      <c r="I44" s="5" t="inlineStr"/>
    </row>
    <row r="45">
      <c r="C45" s="5" t="inlineStr">
        <is>
          <t>Joggebukse</t>
        </is>
      </c>
      <c r="D45" s="5" t="inlineStr"/>
      <c r="E45" s="5" t="inlineStr"/>
      <c r="F45" s="5" t="n">
        <v>279</v>
      </c>
      <c r="I45" s="5" t="inlineStr"/>
    </row>
    <row r="46">
      <c r="C46" s="5" t="inlineStr">
        <is>
          <t>Oppvarmingsgenser</t>
        </is>
      </c>
      <c r="D46" s="5" t="inlineStr">
        <is>
          <t>BARØ</t>
        </is>
      </c>
      <c r="E46" s="5" t="inlineStr"/>
      <c r="F46" s="5" t="n">
        <v>412</v>
      </c>
      <c r="I46" s="5" t="inlineStr"/>
    </row>
    <row r="47">
      <c r="C47" s="5" t="inlineStr">
        <is>
          <t>Oppvarmingsgenser</t>
        </is>
      </c>
      <c r="D47" s="5" t="inlineStr">
        <is>
          <t>BARØ</t>
        </is>
      </c>
      <c r="E47" s="5" t="inlineStr"/>
      <c r="F47" s="5" t="n">
        <v>412</v>
      </c>
      <c r="I47" s="5" t="inlineStr"/>
    </row>
    <row r="48">
      <c r="C48" s="5" t="inlineStr">
        <is>
          <t>Oppvarmingsgenser</t>
        </is>
      </c>
      <c r="D48" s="5" t="inlineStr">
        <is>
          <t>BARØ</t>
        </is>
      </c>
      <c r="E48" s="5" t="inlineStr"/>
      <c r="F48" s="5" t="n">
        <v>412</v>
      </c>
      <c r="I48" s="5" t="inlineStr"/>
    </row>
    <row r="49">
      <c r="C49" s="5" t="inlineStr">
        <is>
          <t>Shorts (herre)</t>
        </is>
      </c>
      <c r="D49" s="5" t="inlineStr"/>
      <c r="E49" s="5" t="inlineStr"/>
      <c r="F49" s="5" t="n">
        <v>188</v>
      </c>
      <c r="I49" s="5" t="inlineStr"/>
    </row>
    <row r="50">
      <c r="C50" s="5" t="inlineStr">
        <is>
          <t>Shorts (herre)</t>
        </is>
      </c>
      <c r="D50" s="5" t="inlineStr"/>
      <c r="E50" s="5" t="inlineStr"/>
      <c r="F50" s="5" t="n">
        <v>188</v>
      </c>
      <c r="I50" s="5" t="inlineStr"/>
    </row>
    <row r="51">
      <c r="C51" s="5" t="inlineStr">
        <is>
          <t>Tskjorte</t>
        </is>
      </c>
      <c r="D51" s="5" t="inlineStr">
        <is>
          <t>BARØ</t>
        </is>
      </c>
      <c r="E51" s="5" t="inlineStr"/>
      <c r="F51" s="5" t="n">
        <v>227</v>
      </c>
      <c r="I51" s="5" t="inlineStr"/>
    </row>
    <row r="52">
      <c r="C52" s="5" t="inlineStr">
        <is>
          <t>Tskjorte</t>
        </is>
      </c>
      <c r="D52" s="5" t="inlineStr">
        <is>
          <t>BARØ</t>
        </is>
      </c>
      <c r="E52" s="5" t="inlineStr"/>
      <c r="F52" s="5" t="n">
        <v>227</v>
      </c>
      <c r="I52" s="5" t="inlineStr"/>
    </row>
    <row r="53">
      <c r="C53" s="5" t="inlineStr">
        <is>
          <t>Tskjorte</t>
        </is>
      </c>
      <c r="D53" s="5" t="inlineStr">
        <is>
          <t>BARØ</t>
        </is>
      </c>
      <c r="E53" s="5" t="inlineStr"/>
      <c r="F53" s="5" t="n">
        <v>227</v>
      </c>
      <c r="I53" s="5" t="inlineStr"/>
    </row>
    <row r="54">
      <c r="C54" s="5" t="inlineStr">
        <is>
          <t>Tskjorte</t>
        </is>
      </c>
      <c r="D54" s="5" t="inlineStr">
        <is>
          <t>BARØ</t>
        </is>
      </c>
      <c r="E54" s="5" t="inlineStr"/>
      <c r="F54" s="5" t="n">
        <v>227</v>
      </c>
      <c r="I54" s="5" t="inlineStr"/>
    </row>
    <row r="55">
      <c r="B55" s="5" t="inlineStr">
        <is>
          <t>Chrisander lykke</t>
        </is>
      </c>
      <c r="C55" s="5" t="inlineStr">
        <is>
          <t>Shorts (herre)</t>
        </is>
      </c>
      <c r="D55" s="5" t="inlineStr"/>
      <c r="E55" s="5" t="inlineStr"/>
      <c r="F55" s="5" t="n">
        <v>188</v>
      </c>
      <c r="G55" s="5">
        <f>SUM(f54:f57)</f>
        <v/>
      </c>
      <c r="I55" s="5" t="inlineStr"/>
    </row>
    <row r="56">
      <c r="C56" s="5" t="inlineStr">
        <is>
          <t>Shorts (herre)</t>
        </is>
      </c>
      <c r="D56" s="5" t="inlineStr"/>
      <c r="E56" s="5" t="inlineStr"/>
      <c r="F56" s="5" t="n">
        <v>188</v>
      </c>
      <c r="I56" s="5" t="inlineStr"/>
    </row>
    <row r="57">
      <c r="C57" s="5" t="inlineStr">
        <is>
          <t>Tskjorte</t>
        </is>
      </c>
      <c r="D57" s="5" t="inlineStr"/>
      <c r="E57" s="5" t="inlineStr"/>
      <c r="F57" s="5" t="n">
        <v>196</v>
      </c>
      <c r="I57" s="5" t="inlineStr"/>
    </row>
    <row r="58">
      <c r="C58" s="5" t="inlineStr">
        <is>
          <t>Tskjorte</t>
        </is>
      </c>
      <c r="D58" s="5" t="inlineStr"/>
      <c r="E58" s="5" t="inlineStr"/>
      <c r="F58" s="5" t="n">
        <v>196</v>
      </c>
      <c r="I58" s="5" t="inlineStr"/>
    </row>
    <row r="59">
      <c r="B59" s="5" t="inlineStr">
        <is>
          <t>Gustav Vestå</t>
        </is>
      </c>
      <c r="C59" s="5" t="inlineStr">
        <is>
          <t>Tskjorte</t>
        </is>
      </c>
      <c r="D59" s="5" t="inlineStr">
        <is>
          <t>VESTÅ</t>
        </is>
      </c>
      <c r="E59" s="5" t="inlineStr"/>
      <c r="F59" s="5" t="n">
        <v>227</v>
      </c>
      <c r="G59" s="5">
        <f>SUM(f58:f59)</f>
        <v/>
      </c>
      <c r="I59" s="5" t="inlineStr"/>
    </row>
    <row r="60">
      <c r="C60" s="5" t="inlineStr">
        <is>
          <t>Tskjorte</t>
        </is>
      </c>
      <c r="D60" s="5" t="inlineStr">
        <is>
          <t>VESTÅ</t>
        </is>
      </c>
      <c r="E60" s="5" t="inlineStr"/>
      <c r="F60" s="5" t="n">
        <v>227</v>
      </c>
      <c r="I60" s="5" t="inlineStr"/>
    </row>
    <row r="61">
      <c r="B61" s="5" t="inlineStr">
        <is>
          <t>Markus Wallstad Hamansen</t>
        </is>
      </c>
      <c r="C61" s="5" t="inlineStr">
        <is>
          <t>Shorts (herre)</t>
        </is>
      </c>
      <c r="D61" s="5" t="inlineStr"/>
      <c r="E61" s="5" t="inlineStr"/>
      <c r="F61" s="5" t="n">
        <v>188</v>
      </c>
      <c r="G61" s="5">
        <f>SUM(f60:f61)</f>
        <v/>
      </c>
      <c r="I61" s="5" t="inlineStr"/>
    </row>
    <row r="62">
      <c r="C62" s="5" t="inlineStr">
        <is>
          <t>Tskjorte</t>
        </is>
      </c>
      <c r="D62" s="5" t="inlineStr">
        <is>
          <t>W - HAMANSEN</t>
        </is>
      </c>
      <c r="E62" s="5" t="inlineStr"/>
      <c r="F62" s="5" t="n">
        <v>227</v>
      </c>
      <c r="I62" s="5" t="inlineStr"/>
    </row>
    <row r="63">
      <c r="B63" s="5" t="inlineStr">
        <is>
          <t>Mats Børja Berg</t>
        </is>
      </c>
      <c r="C63" s="5" t="inlineStr">
        <is>
          <t>Hettejakke</t>
        </is>
      </c>
      <c r="D63" s="5" t="inlineStr">
        <is>
          <t>BØRJA</t>
        </is>
      </c>
      <c r="E63" s="5" t="n">
        <v>0</v>
      </c>
      <c r="F63" s="5" t="n">
        <v>453</v>
      </c>
      <c r="G63" s="5">
        <f>SUM(f62:f66)</f>
        <v/>
      </c>
      <c r="I63" s="5" t="inlineStr">
        <is>
          <t>Mats Børja Berg er ikke trener?</t>
        </is>
      </c>
    </row>
    <row r="64">
      <c r="C64" s="5" t="inlineStr">
        <is>
          <t>Joggebukse</t>
        </is>
      </c>
      <c r="D64" s="5" t="inlineStr"/>
      <c r="E64" s="5" t="inlineStr"/>
      <c r="F64" s="5" t="n">
        <v>279</v>
      </c>
      <c r="I64" s="5" t="inlineStr"/>
    </row>
    <row r="65">
      <c r="C65" s="5" t="inlineStr">
        <is>
          <t>Shorts (herre)</t>
        </is>
      </c>
      <c r="D65" s="5" t="inlineStr"/>
      <c r="E65" s="5" t="inlineStr"/>
      <c r="F65" s="5" t="n">
        <v>188</v>
      </c>
      <c r="I65" s="5" t="inlineStr"/>
    </row>
    <row r="66">
      <c r="C66" s="5" t="inlineStr">
        <is>
          <t>Tskjorte</t>
        </is>
      </c>
      <c r="D66" s="5" t="inlineStr">
        <is>
          <t>BØRJA</t>
        </is>
      </c>
      <c r="E66" s="5" t="inlineStr"/>
      <c r="F66" s="5" t="n">
        <v>227</v>
      </c>
      <c r="I66" s="5" t="inlineStr"/>
    </row>
    <row r="67">
      <c r="C67" s="5" t="inlineStr">
        <is>
          <t>Tskjorte</t>
        </is>
      </c>
      <c r="D67" s="5" t="inlineStr">
        <is>
          <t>BØRJA</t>
        </is>
      </c>
      <c r="E67" s="5" t="inlineStr"/>
      <c r="F67" s="5" t="n">
        <v>227</v>
      </c>
      <c r="I67" s="5" t="inlineStr"/>
    </row>
    <row r="68">
      <c r="B68" s="5" t="inlineStr">
        <is>
          <t>Vetle Tobias Lannem</t>
        </is>
      </c>
      <c r="C68" s="5" t="inlineStr">
        <is>
          <t>Joggebukse</t>
        </is>
      </c>
      <c r="D68" s="5" t="inlineStr"/>
      <c r="E68" s="5" t="inlineStr"/>
      <c r="F68" s="5" t="n">
        <v>279</v>
      </c>
      <c r="G68" s="5">
        <f>SUM(f67:f74)</f>
        <v/>
      </c>
      <c r="I68" s="5" t="inlineStr"/>
    </row>
    <row r="69">
      <c r="C69" s="5" t="inlineStr">
        <is>
          <t>Oppvarmingsgenser</t>
        </is>
      </c>
      <c r="D69" s="5" t="inlineStr">
        <is>
          <t>LANNEM</t>
        </is>
      </c>
      <c r="E69" s="5" t="inlineStr"/>
      <c r="F69" s="5" t="n">
        <v>412</v>
      </c>
      <c r="I69" s="5" t="inlineStr">
        <is>
          <t>PRINT P Å DENNEEE OGSÅ</t>
        </is>
      </c>
    </row>
    <row r="70">
      <c r="C70" s="5" t="inlineStr">
        <is>
          <t>Shorts (herre)</t>
        </is>
      </c>
      <c r="D70" s="5" t="inlineStr"/>
      <c r="E70" s="5" t="inlineStr"/>
      <c r="F70" s="5" t="n">
        <v>188</v>
      </c>
      <c r="I70" s="5" t="inlineStr"/>
    </row>
    <row r="71">
      <c r="C71" s="5" t="inlineStr">
        <is>
          <t>Shorts (herre)</t>
        </is>
      </c>
      <c r="D71" s="5" t="inlineStr"/>
      <c r="E71" s="5" t="inlineStr"/>
      <c r="F71" s="5" t="n">
        <v>188</v>
      </c>
      <c r="I71" s="5" t="inlineStr"/>
    </row>
    <row r="72">
      <c r="C72" s="5" t="inlineStr">
        <is>
          <t>Tskjorte</t>
        </is>
      </c>
      <c r="D72" s="5" t="inlineStr">
        <is>
          <t>LANNEM</t>
        </is>
      </c>
      <c r="E72" s="5" t="inlineStr"/>
      <c r="F72" s="5" t="n">
        <v>227</v>
      </c>
      <c r="I72" s="5" t="inlineStr">
        <is>
          <t>åsly, jeg vil ha print på alle tskjortene👉👈</t>
        </is>
      </c>
    </row>
    <row r="73">
      <c r="C73" s="5" t="inlineStr">
        <is>
          <t>Tskjorte</t>
        </is>
      </c>
      <c r="D73" s="5" t="inlineStr">
        <is>
          <t>LANNEM</t>
        </is>
      </c>
      <c r="E73" s="5" t="inlineStr"/>
      <c r="F73" s="5" t="n">
        <v>227</v>
      </c>
      <c r="I73" s="5" t="inlineStr">
        <is>
          <t>åsly, jeg vil ha print på alle tskjortene👉👈</t>
        </is>
      </c>
    </row>
    <row r="74">
      <c r="C74" s="5" t="inlineStr">
        <is>
          <t>Tskjorte</t>
        </is>
      </c>
      <c r="D74" s="5" t="inlineStr">
        <is>
          <t>LANNEM</t>
        </is>
      </c>
      <c r="E74" s="5" t="inlineStr"/>
      <c r="F74" s="5" t="n">
        <v>227</v>
      </c>
      <c r="I74" s="5" t="inlineStr">
        <is>
          <t>åsly, jeg vil ha print på alle tskjortene👉👈</t>
        </is>
      </c>
    </row>
    <row r="75">
      <c r="C75" s="5" t="inlineStr">
        <is>
          <t>Tskjorte</t>
        </is>
      </c>
      <c r="D75" s="5" t="inlineStr">
        <is>
          <t>LANNEM</t>
        </is>
      </c>
      <c r="E75" s="5" t="inlineStr"/>
      <c r="F75" s="5" t="n">
        <v>227</v>
      </c>
      <c r="I75" s="5" t="inlineStr">
        <is>
          <t>åsly, jeg vil ha print på alle tskjortene👉👈</t>
        </is>
      </c>
    </row>
    <row r="76">
      <c r="A76" s="3" t="inlineStr">
        <is>
          <t>H2C</t>
        </is>
      </c>
      <c r="B76" s="4" t="inlineStr">
        <is>
          <t>Alejandro Bautista Diaz</t>
        </is>
      </c>
      <c r="C76" s="4" t="inlineStr">
        <is>
          <t>Half-zip</t>
        </is>
      </c>
      <c r="D76" s="4" t="inlineStr"/>
      <c r="E76" s="4" t="inlineStr"/>
      <c r="F76" s="4" t="n">
        <v>422</v>
      </c>
      <c r="G76" s="4">
        <f>SUM(f75:f78)</f>
        <v/>
      </c>
      <c r="H76" s="4">
        <f>SUM(g75:g86)</f>
        <v/>
      </c>
      <c r="I76" s="4" t="inlineStr"/>
    </row>
    <row r="77">
      <c r="C77" s="4" t="inlineStr">
        <is>
          <t>Shorts (herre)</t>
        </is>
      </c>
      <c r="D77" s="4" t="inlineStr"/>
      <c r="E77" s="4" t="inlineStr"/>
      <c r="F77" s="4" t="n">
        <v>188</v>
      </c>
      <c r="I77" s="4" t="inlineStr"/>
    </row>
    <row r="78">
      <c r="C78" s="4" t="inlineStr">
        <is>
          <t>Shorts (herre)</t>
        </is>
      </c>
      <c r="D78" s="4" t="inlineStr"/>
      <c r="E78" s="4" t="inlineStr"/>
      <c r="F78" s="4" t="n">
        <v>188</v>
      </c>
      <c r="I78" s="4" t="inlineStr"/>
    </row>
    <row r="79">
      <c r="C79" s="4" t="inlineStr">
        <is>
          <t>Tskjorte</t>
        </is>
      </c>
      <c r="D79" s="4" t="inlineStr"/>
      <c r="E79" s="4" t="inlineStr"/>
      <c r="F79" s="4" t="n">
        <v>196</v>
      </c>
      <c r="I79" s="4" t="inlineStr"/>
    </row>
    <row r="80">
      <c r="B80" s="4" t="inlineStr">
        <is>
          <t>Andreas Bruun Paulsen</t>
        </is>
      </c>
      <c r="C80" s="4" t="inlineStr">
        <is>
          <t>Half-zip</t>
        </is>
      </c>
      <c r="D80" s="4" t="inlineStr">
        <is>
          <t>PAULSEN</t>
        </is>
      </c>
      <c r="E80" s="4" t="inlineStr"/>
      <c r="F80" s="4" t="n">
        <v>453</v>
      </c>
      <c r="G80" s="4">
        <f>SUM(f79:f83)</f>
        <v/>
      </c>
      <c r="I80" s="4" t="inlineStr"/>
    </row>
    <row r="81">
      <c r="C81" s="4" t="inlineStr">
        <is>
          <t>Kompresjonsgenser</t>
        </is>
      </c>
      <c r="D81" s="4" t="inlineStr"/>
      <c r="E81" s="4" t="inlineStr"/>
      <c r="F81" s="4" t="n">
        <v>356</v>
      </c>
      <c r="I81" s="4" t="inlineStr"/>
    </row>
    <row r="82">
      <c r="C82" s="4" t="inlineStr">
        <is>
          <t>Shorts (herre)</t>
        </is>
      </c>
      <c r="D82" s="4" t="inlineStr"/>
      <c r="E82" s="4" t="inlineStr"/>
      <c r="F82" s="4" t="n">
        <v>188</v>
      </c>
      <c r="I82" s="4" t="inlineStr"/>
    </row>
    <row r="83">
      <c r="C83" s="4" t="inlineStr">
        <is>
          <t>Tskjorte</t>
        </is>
      </c>
      <c r="D83" s="4" t="inlineStr">
        <is>
          <t>PAULSEN</t>
        </is>
      </c>
      <c r="E83" s="4" t="inlineStr"/>
      <c r="F83" s="4" t="n">
        <v>227</v>
      </c>
      <c r="I83" s="4" t="inlineStr"/>
    </row>
    <row r="84">
      <c r="C84" s="4" t="inlineStr">
        <is>
          <t>Tskjorte</t>
        </is>
      </c>
      <c r="D84" s="4" t="inlineStr">
        <is>
          <t>PAULSEN</t>
        </is>
      </c>
      <c r="E84" s="4" t="inlineStr"/>
      <c r="F84" s="4" t="n">
        <v>227</v>
      </c>
      <c r="I84" s="4" t="inlineStr"/>
    </row>
    <row r="85">
      <c r="B85" s="4" t="inlineStr">
        <is>
          <t>Fredrik Ånensen Balas</t>
        </is>
      </c>
      <c r="C85" s="4" t="inlineStr">
        <is>
          <t>Half-zip</t>
        </is>
      </c>
      <c r="D85" s="4" t="inlineStr"/>
      <c r="E85" s="4" t="inlineStr"/>
      <c r="F85" s="4" t="n">
        <v>422</v>
      </c>
      <c r="G85" s="4">
        <f>SUM(f84:f86)</f>
        <v/>
      </c>
      <c r="I85" s="4" t="inlineStr"/>
    </row>
    <row r="86">
      <c r="C86" s="4" t="inlineStr">
        <is>
          <t>Shorts (herre)</t>
        </is>
      </c>
      <c r="D86" s="4" t="inlineStr"/>
      <c r="E86" s="4" t="inlineStr"/>
      <c r="F86" s="4" t="n">
        <v>188</v>
      </c>
      <c r="I86" s="4" t="inlineStr"/>
    </row>
    <row r="87">
      <c r="C87" s="4" t="inlineStr">
        <is>
          <t>Tskjorte</t>
        </is>
      </c>
      <c r="D87" s="4" t="inlineStr"/>
      <c r="E87" s="4" t="inlineStr"/>
      <c r="F87" s="4" t="n">
        <v>196</v>
      </c>
      <c r="I87" s="4" t="inlineStr"/>
    </row>
    <row r="88">
      <c r="A88" s="3" t="inlineStr">
        <is>
          <t>H3A</t>
        </is>
      </c>
      <c r="B88" s="5" t="inlineStr">
        <is>
          <t xml:space="preserve">Erlend Szontheimer </t>
        </is>
      </c>
      <c r="C88" s="5" t="inlineStr">
        <is>
          <t>Oppvarmingsgenser</t>
        </is>
      </c>
      <c r="D88" s="5" t="inlineStr">
        <is>
          <t>SZONTHEIMER</t>
        </is>
      </c>
      <c r="E88" s="5" t="inlineStr"/>
      <c r="F88" s="5" t="n">
        <v>412</v>
      </c>
      <c r="G88" s="5">
        <f>SUM(f87:f87)</f>
        <v/>
      </c>
      <c r="H88" s="5">
        <f>SUM(g87:g87)</f>
        <v/>
      </c>
      <c r="I88" s="5" t="inlineStr">
        <is>
          <t>Vil bruke trenerrabatten på denne</t>
        </is>
      </c>
    </row>
    <row r="89">
      <c r="A89" s="3" t="inlineStr">
        <is>
          <t>H3B</t>
        </is>
      </c>
      <c r="B89" s="4" t="inlineStr">
        <is>
          <t>Edvard Hjertvik Aasen</t>
        </is>
      </c>
      <c r="C89" s="4" t="inlineStr">
        <is>
          <t>Half-zip</t>
        </is>
      </c>
      <c r="D89" s="4" t="inlineStr">
        <is>
          <t>HJERTVIK AASEN</t>
        </is>
      </c>
      <c r="E89" s="4" t="inlineStr"/>
      <c r="F89" s="4" t="n">
        <v>453</v>
      </c>
      <c r="G89" s="4">
        <f>SUM(f88:f91)</f>
        <v/>
      </c>
      <c r="H89" s="4">
        <f>SUM(g88:g102)</f>
        <v/>
      </c>
      <c r="I89" s="4" t="inlineStr"/>
    </row>
    <row r="90">
      <c r="C90" s="4" t="inlineStr">
        <is>
          <t>Shorts (herre)</t>
        </is>
      </c>
      <c r="D90" s="4" t="inlineStr"/>
      <c r="E90" s="4" t="inlineStr"/>
      <c r="F90" s="4" t="n">
        <v>188</v>
      </c>
      <c r="I90" s="4" t="inlineStr"/>
    </row>
    <row r="91">
      <c r="C91" s="4" t="inlineStr">
        <is>
          <t>Shorts (herre)</t>
        </is>
      </c>
      <c r="D91" s="4" t="inlineStr"/>
      <c r="E91" s="4" t="inlineStr"/>
      <c r="F91" s="4" t="n">
        <v>188</v>
      </c>
      <c r="I91" s="4" t="inlineStr"/>
    </row>
    <row r="92">
      <c r="C92" s="4" t="inlineStr">
        <is>
          <t>Tskjorte</t>
        </is>
      </c>
      <c r="D92" s="4" t="inlineStr">
        <is>
          <t>HJERTVIK AASEN</t>
        </is>
      </c>
      <c r="E92" s="4" t="inlineStr"/>
      <c r="F92" s="4" t="n">
        <v>227</v>
      </c>
      <c r="I92" s="4" t="inlineStr"/>
    </row>
    <row r="93">
      <c r="B93" s="4" t="inlineStr">
        <is>
          <t>Omran Wahidi</t>
        </is>
      </c>
      <c r="C93" s="4" t="inlineStr">
        <is>
          <t>Half-zip</t>
        </is>
      </c>
      <c r="D93" s="4" t="inlineStr">
        <is>
          <t>WAHIDI</t>
        </is>
      </c>
      <c r="E93" s="4" t="inlineStr"/>
      <c r="F93" s="4" t="n">
        <v>453</v>
      </c>
      <c r="G93" s="4">
        <f>SUM(f92:f96)</f>
        <v/>
      </c>
      <c r="I93" s="4" t="inlineStr"/>
    </row>
    <row r="94">
      <c r="C94" s="4" t="inlineStr">
        <is>
          <t>Shorts (herre)</t>
        </is>
      </c>
      <c r="D94" s="4" t="inlineStr"/>
      <c r="E94" s="4" t="inlineStr"/>
      <c r="F94" s="4" t="n">
        <v>188</v>
      </c>
      <c r="I94" s="4" t="inlineStr"/>
    </row>
    <row r="95">
      <c r="C95" s="4" t="inlineStr">
        <is>
          <t>Tskjorte</t>
        </is>
      </c>
      <c r="D95" s="4" t="inlineStr">
        <is>
          <t>WAHIDI</t>
        </is>
      </c>
      <c r="E95" s="4" t="inlineStr"/>
      <c r="F95" s="4" t="n">
        <v>227</v>
      </c>
      <c r="I95" s="4" t="inlineStr"/>
    </row>
    <row r="96">
      <c r="C96" s="4" t="inlineStr">
        <is>
          <t>Tskjorte</t>
        </is>
      </c>
      <c r="D96" s="4" t="inlineStr">
        <is>
          <t>WAHIDI</t>
        </is>
      </c>
      <c r="E96" s="4" t="inlineStr"/>
      <c r="F96" s="4" t="n">
        <v>227</v>
      </c>
      <c r="I96" s="4" t="inlineStr"/>
    </row>
    <row r="97">
      <c r="C97" s="4" t="inlineStr">
        <is>
          <t>Tskjorte</t>
        </is>
      </c>
      <c r="D97" s="4" t="inlineStr">
        <is>
          <t>WAHIDI</t>
        </is>
      </c>
      <c r="E97" s="4" t="inlineStr"/>
      <c r="F97" s="4" t="n">
        <v>227</v>
      </c>
      <c r="I97" s="4" t="inlineStr"/>
    </row>
    <row r="98">
      <c r="B98" s="4" t="inlineStr">
        <is>
          <t>Snorre Indergaard Drønnen</t>
        </is>
      </c>
      <c r="C98" s="4" t="inlineStr">
        <is>
          <t>Hettegenser</t>
        </is>
      </c>
      <c r="D98" s="4" t="inlineStr">
        <is>
          <t>KORTKONGEN</t>
        </is>
      </c>
      <c r="E98" s="4" t="inlineStr"/>
      <c r="F98" s="4" t="n">
        <v>367</v>
      </c>
      <c r="G98" s="4">
        <f>SUM(f97:f99)</f>
        <v/>
      </c>
      <c r="I98" s="4" t="inlineStr"/>
    </row>
    <row r="99">
      <c r="C99" s="4" t="inlineStr">
        <is>
          <t>Joggebukse</t>
        </is>
      </c>
      <c r="D99" s="4" t="inlineStr"/>
      <c r="E99" s="4" t="inlineStr"/>
      <c r="F99" s="4" t="n">
        <v>279</v>
      </c>
      <c r="I99" s="4" t="inlineStr"/>
    </row>
    <row r="100">
      <c r="C100" s="4" t="inlineStr">
        <is>
          <t>Tskjorte</t>
        </is>
      </c>
      <c r="D100" s="4" t="inlineStr">
        <is>
          <t>KORTKONGEN</t>
        </is>
      </c>
      <c r="E100" s="4" t="inlineStr"/>
      <c r="F100" s="4" t="n">
        <v>227</v>
      </c>
      <c r="I100" s="4" t="inlineStr"/>
    </row>
    <row r="101">
      <c r="B101" s="4" t="inlineStr">
        <is>
          <t xml:space="preserve">Sune Röse </t>
        </is>
      </c>
      <c r="C101" s="4" t="inlineStr">
        <is>
          <t>Half-zip</t>
        </is>
      </c>
      <c r="D101" s="4" t="inlineStr">
        <is>
          <t>RÖSE</t>
        </is>
      </c>
      <c r="E101" s="4" t="inlineStr"/>
      <c r="F101" s="4" t="n">
        <v>453</v>
      </c>
      <c r="G101" s="4">
        <f>SUM(f100:f102)</f>
        <v/>
      </c>
      <c r="I101" s="4" t="inlineStr"/>
    </row>
    <row r="102">
      <c r="C102" s="4" t="inlineStr">
        <is>
          <t>Sleeves</t>
        </is>
      </c>
      <c r="D102" s="4" t="inlineStr"/>
      <c r="E102" s="4" t="inlineStr"/>
      <c r="F102" s="4" t="n">
        <v>179</v>
      </c>
      <c r="I102" s="4" t="inlineStr"/>
    </row>
    <row r="103">
      <c r="C103" s="4" t="inlineStr">
        <is>
          <t>Sleeves</t>
        </is>
      </c>
      <c r="D103" s="4" t="inlineStr"/>
      <c r="E103" s="4" t="inlineStr"/>
      <c r="F103" s="4" t="n">
        <v>179</v>
      </c>
      <c r="I103" s="4" t="inlineStr"/>
    </row>
    <row r="104">
      <c r="A104" s="3" t="inlineStr">
        <is>
          <t>H4A</t>
        </is>
      </c>
      <c r="B104" s="5" t="inlineStr">
        <is>
          <t>Henrikke Søvik Lyngdal</t>
        </is>
      </c>
      <c r="C104" s="5" t="inlineStr">
        <is>
          <t>Crewneck</t>
        </is>
      </c>
      <c r="D104" s="5" t="inlineStr">
        <is>
          <t>LYNGDAL</t>
        </is>
      </c>
      <c r="E104" s="5" t="inlineStr"/>
      <c r="F104" s="5" t="n">
        <v>335</v>
      </c>
      <c r="G104" s="5">
        <f>SUM(f103:f105)</f>
        <v/>
      </c>
      <c r="H104" s="5">
        <f>SUM(g103:g105)</f>
        <v/>
      </c>
      <c r="I104" s="5" t="inlineStr"/>
    </row>
    <row r="105">
      <c r="C105" s="5" t="inlineStr">
        <is>
          <t>Joggebukse</t>
        </is>
      </c>
      <c r="D105" s="5" t="inlineStr"/>
      <c r="E105" s="5" t="inlineStr"/>
      <c r="F105" s="5" t="n">
        <v>279</v>
      </c>
      <c r="I105" s="5" t="inlineStr"/>
    </row>
    <row r="106">
      <c r="C106" s="5" t="inlineStr">
        <is>
          <t>Oppvarmingsgenser</t>
        </is>
      </c>
      <c r="D106" s="5" t="inlineStr">
        <is>
          <t>LYNGDAL</t>
        </is>
      </c>
      <c r="E106" s="5" t="inlineStr"/>
      <c r="F106" s="5" t="n">
        <v>412</v>
      </c>
      <c r="I106" s="5" t="inlineStr"/>
    </row>
    <row r="107">
      <c r="A107" s="3" t="inlineStr">
        <is>
          <t>H4B</t>
        </is>
      </c>
      <c r="B107" s="4" t="inlineStr">
        <is>
          <t>Aleksander Hille</t>
        </is>
      </c>
      <c r="C107" s="4" t="inlineStr">
        <is>
          <t>Crewneck</t>
        </is>
      </c>
      <c r="D107" s="4" t="inlineStr">
        <is>
          <t>HILLE</t>
        </is>
      </c>
      <c r="E107" s="4" t="inlineStr"/>
      <c r="F107" s="4" t="n">
        <v>335</v>
      </c>
      <c r="G107" s="4">
        <f>SUM(f106:f112)</f>
        <v/>
      </c>
      <c r="H107" s="4">
        <f>SUM(g106:g117)</f>
        <v/>
      </c>
      <c r="I107" s="4" t="inlineStr"/>
    </row>
    <row r="108">
      <c r="C108" s="4" t="inlineStr">
        <is>
          <t>Half-zip</t>
        </is>
      </c>
      <c r="D108" s="4" t="inlineStr">
        <is>
          <t>HILLE</t>
        </is>
      </c>
      <c r="E108" s="4" t="inlineStr"/>
      <c r="F108" s="4" t="n">
        <v>453</v>
      </c>
      <c r="I108" s="4" t="inlineStr"/>
    </row>
    <row r="109">
      <c r="C109" s="4" t="inlineStr">
        <is>
          <t>Joggebukse</t>
        </is>
      </c>
      <c r="D109" s="4" t="inlineStr"/>
      <c r="E109" s="4" t="inlineStr"/>
      <c r="F109" s="4" t="n">
        <v>279</v>
      </c>
      <c r="I109" s="4" t="inlineStr"/>
    </row>
    <row r="110">
      <c r="C110" s="4" t="inlineStr">
        <is>
          <t>Shorts (herre)</t>
        </is>
      </c>
      <c r="D110" s="4" t="inlineStr"/>
      <c r="E110" s="4" t="inlineStr"/>
      <c r="F110" s="4" t="n">
        <v>188</v>
      </c>
      <c r="I110" s="4" t="inlineStr"/>
    </row>
    <row r="111">
      <c r="C111" s="4" t="inlineStr">
        <is>
          <t>Tskjorte</t>
        </is>
      </c>
      <c r="D111" s="4" t="inlineStr">
        <is>
          <t>HILLE</t>
        </is>
      </c>
      <c r="E111" s="4" t="inlineStr"/>
      <c r="F111" s="4" t="n">
        <v>227</v>
      </c>
      <c r="I111" s="4" t="inlineStr"/>
    </row>
    <row r="112">
      <c r="C112" s="4" t="inlineStr">
        <is>
          <t>Tskjorte</t>
        </is>
      </c>
      <c r="D112" s="4" t="inlineStr">
        <is>
          <t>HILLE</t>
        </is>
      </c>
      <c r="E112" s="4" t="inlineStr"/>
      <c r="F112" s="4" t="n">
        <v>227</v>
      </c>
      <c r="I112" s="4" t="inlineStr"/>
    </row>
    <row r="113">
      <c r="C113" s="4" t="inlineStr">
        <is>
          <t>Tskjorte</t>
        </is>
      </c>
      <c r="D113" s="4" t="inlineStr">
        <is>
          <t>HILLE</t>
        </is>
      </c>
      <c r="E113" s="4" t="inlineStr"/>
      <c r="F113" s="4" t="n">
        <v>227</v>
      </c>
      <c r="I113" s="4" t="inlineStr"/>
    </row>
    <row r="114">
      <c r="B114" s="4" t="inlineStr">
        <is>
          <t>Kenneth Olstad Johnsen</t>
        </is>
      </c>
      <c r="C114" s="4" t="inlineStr">
        <is>
          <t>Joggebukse</t>
        </is>
      </c>
      <c r="D114" s="4" t="inlineStr"/>
      <c r="E114" s="4" t="inlineStr"/>
      <c r="F114" s="4" t="n">
        <v>279</v>
      </c>
      <c r="G114" s="4">
        <f>SUM(f113:f114)</f>
        <v/>
      </c>
      <c r="I114" s="4" t="inlineStr"/>
    </row>
    <row r="115">
      <c r="C115" s="4" t="inlineStr">
        <is>
          <t>Tskjorte</t>
        </is>
      </c>
      <c r="D115" s="4" t="inlineStr">
        <is>
          <t>JOHNSEN</t>
        </is>
      </c>
      <c r="E115" s="4" t="inlineStr"/>
      <c r="F115" s="4" t="n">
        <v>227</v>
      </c>
      <c r="I115" s="4" t="inlineStr"/>
    </row>
    <row r="116">
      <c r="B116" s="4" t="inlineStr">
        <is>
          <t>Sindre Bjoreng</t>
        </is>
      </c>
      <c r="C116" s="4" t="inlineStr">
        <is>
          <t>Half-zip</t>
        </is>
      </c>
      <c r="D116" s="4" t="inlineStr">
        <is>
          <t>SINDRE BJORENG</t>
        </is>
      </c>
      <c r="E116" s="4" t="inlineStr"/>
      <c r="F116" s="4" t="n">
        <v>453</v>
      </c>
      <c r="G116" s="4">
        <f>SUM(f115:f117)</f>
        <v/>
      </c>
      <c r="I116" s="4" t="inlineStr"/>
    </row>
    <row r="117">
      <c r="C117" s="4" t="inlineStr">
        <is>
          <t>Shorts (herre)</t>
        </is>
      </c>
      <c r="D117" s="4" t="inlineStr"/>
      <c r="E117" s="4" t="inlineStr"/>
      <c r="F117" s="4" t="n">
        <v>188</v>
      </c>
      <c r="I117" s="4" t="inlineStr"/>
    </row>
    <row r="118">
      <c r="C118" s="4" t="inlineStr">
        <is>
          <t>Tskjorte</t>
        </is>
      </c>
      <c r="D118" s="4" t="inlineStr">
        <is>
          <t>SINDRE BJORENG</t>
        </is>
      </c>
      <c r="E118" s="4" t="inlineStr"/>
      <c r="F118" s="4" t="n">
        <v>227</v>
      </c>
      <c r="I118" s="4" t="inlineStr">
        <is>
          <t>One Large White t-shirt with print</t>
        </is>
      </c>
    </row>
    <row r="119">
      <c r="A119" s="3" t="inlineStr">
        <is>
          <t>D1</t>
        </is>
      </c>
      <c r="B119" s="5" t="inlineStr">
        <is>
          <t>Eira Aalefjær</t>
        </is>
      </c>
      <c r="C119" s="5" t="inlineStr">
        <is>
          <t>Oppvarmingsgenser</t>
        </is>
      </c>
      <c r="D119" s="5" t="inlineStr"/>
      <c r="E119" s="5" t="inlineStr"/>
      <c r="F119" s="5" t="n">
        <v>351</v>
      </c>
      <c r="G119" s="5">
        <f>SUM(f118:f120)</f>
        <v/>
      </c>
      <c r="H119" s="5">
        <f>SUM(g118:g140)</f>
        <v/>
      </c>
      <c r="I119" s="5" t="inlineStr"/>
    </row>
    <row r="120">
      <c r="C120" s="5" t="inlineStr">
        <is>
          <t>Tskjorte</t>
        </is>
      </c>
      <c r="D120" s="5" t="inlineStr"/>
      <c r="E120" s="5" t="inlineStr"/>
      <c r="F120" s="5" t="n">
        <v>196</v>
      </c>
      <c r="I120" s="5" t="inlineStr"/>
    </row>
    <row r="121">
      <c r="C121" s="5" t="inlineStr">
        <is>
          <t>Tskjorte</t>
        </is>
      </c>
      <c r="D121" s="5" t="inlineStr"/>
      <c r="E121" s="5" t="inlineStr"/>
      <c r="F121" s="5" t="n">
        <v>196</v>
      </c>
      <c r="I121" s="5" t="inlineStr"/>
    </row>
    <row r="122">
      <c r="B122" s="5" t="inlineStr">
        <is>
          <t>Evelina Dalisanskaite</t>
        </is>
      </c>
      <c r="C122" s="5" t="inlineStr">
        <is>
          <t>Hettejakke</t>
        </is>
      </c>
      <c r="D122" s="5" t="inlineStr">
        <is>
          <t>DALISANSKAITE</t>
        </is>
      </c>
      <c r="E122" s="5" t="n">
        <v>210</v>
      </c>
      <c r="F122" s="5" t="n">
        <v>243</v>
      </c>
      <c r="G122" s="5">
        <f>SUM(f121:f124)</f>
        <v/>
      </c>
      <c r="I122" s="5" t="inlineStr"/>
    </row>
    <row r="123">
      <c r="C123" s="5" t="inlineStr">
        <is>
          <t>Joggebukse</t>
        </is>
      </c>
      <c r="D123" s="5" t="inlineStr"/>
      <c r="E123" s="5" t="inlineStr"/>
      <c r="F123" s="5" t="n">
        <v>279</v>
      </c>
      <c r="I123" s="5" t="inlineStr"/>
    </row>
    <row r="124">
      <c r="C124" s="5" t="inlineStr">
        <is>
          <t>Tskjorte</t>
        </is>
      </c>
      <c r="D124" s="5" t="inlineStr">
        <is>
          <t>DALISANSKAITE</t>
        </is>
      </c>
      <c r="E124" s="5" t="inlineStr"/>
      <c r="F124" s="5" t="n">
        <v>227</v>
      </c>
      <c r="I124" s="5" t="inlineStr"/>
    </row>
    <row r="125">
      <c r="C125" s="5" t="inlineStr">
        <is>
          <t>Tskjorte</t>
        </is>
      </c>
      <c r="D125" s="5" t="inlineStr">
        <is>
          <t>DALISANSKAITE</t>
        </is>
      </c>
      <c r="E125" s="5" t="inlineStr"/>
      <c r="F125" s="5" t="n">
        <v>227</v>
      </c>
      <c r="I125" s="5" t="inlineStr"/>
    </row>
    <row r="126">
      <c r="B126" s="5" t="inlineStr">
        <is>
          <t xml:space="preserve">Julie Hoem Jonassen </t>
        </is>
      </c>
      <c r="C126" s="5" t="inlineStr">
        <is>
          <t>Oppvarmingsgenser</t>
        </is>
      </c>
      <c r="D126" s="5" t="inlineStr"/>
      <c r="E126" s="5" t="inlineStr"/>
      <c r="F126" s="5" t="n">
        <v>351</v>
      </c>
      <c r="G126" s="5">
        <f>SUM(f125:f126)</f>
        <v/>
      </c>
      <c r="I126" s="5" t="inlineStr"/>
    </row>
    <row r="127">
      <c r="C127" s="5" t="inlineStr">
        <is>
          <t>Tskjorte</t>
        </is>
      </c>
      <c r="D127" s="5" t="inlineStr"/>
      <c r="E127" s="5" t="inlineStr"/>
      <c r="F127" s="5" t="n">
        <v>196</v>
      </c>
      <c r="I127" s="5" t="inlineStr"/>
    </row>
    <row r="128">
      <c r="B128" s="5" t="inlineStr">
        <is>
          <t>Kamilla Vik Linga</t>
        </is>
      </c>
      <c r="C128" s="5" t="inlineStr">
        <is>
          <t>Crewneck</t>
        </is>
      </c>
      <c r="D128" s="5" t="inlineStr">
        <is>
          <t>LINGA</t>
        </is>
      </c>
      <c r="E128" s="5" t="inlineStr"/>
      <c r="F128" s="5" t="n">
        <v>335</v>
      </c>
      <c r="G128" s="5">
        <f>SUM(f127:f129)</f>
        <v/>
      </c>
      <c r="I128" s="5" t="inlineStr"/>
    </row>
    <row r="129">
      <c r="C129" s="5" t="inlineStr">
        <is>
          <t>Oppvarmingsgenser</t>
        </is>
      </c>
      <c r="D129" s="5" t="inlineStr">
        <is>
          <t>LINGA</t>
        </is>
      </c>
      <c r="E129" s="5" t="inlineStr"/>
      <c r="F129" s="5" t="n">
        <v>412</v>
      </c>
      <c r="I129" s="5" t="inlineStr"/>
    </row>
    <row r="130">
      <c r="C130" s="5" t="inlineStr">
        <is>
          <t>Tskjorte</t>
        </is>
      </c>
      <c r="D130" s="5" t="inlineStr"/>
      <c r="E130" s="5" t="inlineStr"/>
      <c r="F130" s="5" t="n">
        <v>196</v>
      </c>
      <c r="I130" s="5" t="inlineStr"/>
    </row>
    <row r="131">
      <c r="B131" s="5" t="inlineStr">
        <is>
          <t>Malin Snarheim Brynjelsen</t>
        </is>
      </c>
      <c r="C131" s="5" t="inlineStr">
        <is>
          <t>Oppvarmingsgenser</t>
        </is>
      </c>
      <c r="D131" s="5" t="inlineStr">
        <is>
          <t>MALIN</t>
        </is>
      </c>
      <c r="E131" s="5" t="inlineStr"/>
      <c r="F131" s="5" t="n">
        <v>412</v>
      </c>
      <c r="G131" s="5">
        <f>SUM(f130:f134)</f>
        <v/>
      </c>
      <c r="I131" s="5" t="inlineStr">
        <is>
          <t>damestørrelse</t>
        </is>
      </c>
    </row>
    <row r="132">
      <c r="C132" s="5" t="inlineStr">
        <is>
          <t>Oppvarmingsgenser</t>
        </is>
      </c>
      <c r="D132" s="5" t="inlineStr">
        <is>
          <t>MALIN</t>
        </is>
      </c>
      <c r="E132" s="5" t="inlineStr"/>
      <c r="F132" s="5" t="n">
        <v>412</v>
      </c>
      <c r="I132" s="5" t="inlineStr">
        <is>
          <t>damestørrelse</t>
        </is>
      </c>
    </row>
    <row r="133">
      <c r="C133" s="5" t="inlineStr">
        <is>
          <t>Tskjorte</t>
        </is>
      </c>
      <c r="D133" s="5" t="inlineStr">
        <is>
          <t>MALIN</t>
        </is>
      </c>
      <c r="E133" s="5" t="inlineStr"/>
      <c r="F133" s="5" t="n">
        <v>227</v>
      </c>
      <c r="I133" s="5" t="inlineStr">
        <is>
          <t>damestørrelse</t>
        </is>
      </c>
    </row>
    <row r="134">
      <c r="C134" s="5" t="inlineStr">
        <is>
          <t>Tskjorte</t>
        </is>
      </c>
      <c r="D134" s="5" t="inlineStr">
        <is>
          <t>MALIN</t>
        </is>
      </c>
      <c r="E134" s="5" t="inlineStr"/>
      <c r="F134" s="5" t="n">
        <v>227</v>
      </c>
      <c r="I134" s="5" t="inlineStr">
        <is>
          <t>damestørrelse</t>
        </is>
      </c>
    </row>
    <row r="135">
      <c r="C135" s="5" t="inlineStr">
        <is>
          <t>Tskjorte</t>
        </is>
      </c>
      <c r="D135" s="5" t="inlineStr">
        <is>
          <t>MALIN</t>
        </is>
      </c>
      <c r="E135" s="5" t="inlineStr"/>
      <c r="F135" s="5" t="n">
        <v>227</v>
      </c>
      <c r="I135" s="5" t="inlineStr">
        <is>
          <t>damestørrelse</t>
        </is>
      </c>
    </row>
    <row r="136">
      <c r="B136" s="5" t="inlineStr">
        <is>
          <t>Thea Vagle</t>
        </is>
      </c>
      <c r="C136" s="5" t="inlineStr">
        <is>
          <t>Oppvarmingsgenser</t>
        </is>
      </c>
      <c r="D136" s="5" t="inlineStr">
        <is>
          <t>VAGLE</t>
        </is>
      </c>
      <c r="E136" s="5" t="inlineStr"/>
      <c r="F136" s="5" t="n">
        <v>412</v>
      </c>
      <c r="G136" s="5">
        <f>SUM(f135:f136)</f>
        <v/>
      </c>
      <c r="I136" s="5" t="inlineStr"/>
    </row>
    <row r="137">
      <c r="C137" s="5" t="inlineStr">
        <is>
          <t>Tskjorte</t>
        </is>
      </c>
      <c r="D137" s="5" t="inlineStr">
        <is>
          <t>VAGLE</t>
        </is>
      </c>
      <c r="E137" s="5" t="inlineStr"/>
      <c r="F137" s="5" t="n">
        <v>227</v>
      </c>
      <c r="I137" s="5" t="inlineStr"/>
    </row>
    <row r="138">
      <c r="B138" s="5" t="inlineStr">
        <is>
          <t>Una Kennethsdatter Nordheim</t>
        </is>
      </c>
      <c r="C138" s="5" t="inlineStr">
        <is>
          <t>Oppvarmingsgenser</t>
        </is>
      </c>
      <c r="D138" s="5" t="inlineStr"/>
      <c r="E138" s="5" t="inlineStr"/>
      <c r="F138" s="5" t="n">
        <v>351</v>
      </c>
      <c r="G138" s="5">
        <f>SUM(f137:f140)</f>
        <v/>
      </c>
      <c r="I138" s="5" t="inlineStr"/>
    </row>
    <row r="139">
      <c r="C139" s="5" t="inlineStr">
        <is>
          <t>Tskjorte</t>
        </is>
      </c>
      <c r="D139" s="5" t="inlineStr"/>
      <c r="E139" s="5" t="inlineStr"/>
      <c r="F139" s="5" t="n">
        <v>196</v>
      </c>
      <c r="I139" s="5" t="inlineStr"/>
    </row>
    <row r="140">
      <c r="C140" s="5" t="inlineStr">
        <is>
          <t>Tskjorte</t>
        </is>
      </c>
      <c r="D140" s="5" t="inlineStr"/>
      <c r="E140" s="5" t="inlineStr"/>
      <c r="F140" s="5" t="n">
        <v>196</v>
      </c>
      <c r="I140" s="5" t="inlineStr"/>
    </row>
    <row r="141">
      <c r="C141" s="5" t="inlineStr">
        <is>
          <t>Tskjorte</t>
        </is>
      </c>
      <c r="D141" s="5" t="inlineStr"/>
      <c r="E141" s="5" t="inlineStr"/>
      <c r="F141" s="5" t="n">
        <v>196</v>
      </c>
      <c r="I141" s="5" t="inlineStr"/>
    </row>
    <row r="142">
      <c r="A142" s="3" t="inlineStr">
        <is>
          <t>D2A</t>
        </is>
      </c>
      <c r="B142" s="4" t="inlineStr">
        <is>
          <t xml:space="preserve">Eva Thime Elseth </t>
        </is>
      </c>
      <c r="C142" s="4" t="inlineStr">
        <is>
          <t>Crewneck</t>
        </is>
      </c>
      <c r="D142" s="4" t="inlineStr">
        <is>
          <t>THIME</t>
        </is>
      </c>
      <c r="E142" s="4" t="inlineStr"/>
      <c r="F142" s="4" t="n">
        <v>335</v>
      </c>
      <c r="G142" s="4">
        <f>SUM(f141:f144)</f>
        <v/>
      </c>
      <c r="H142" s="4">
        <f>SUM(g141:g153)</f>
        <v/>
      </c>
      <c r="I142" s="4" t="inlineStr"/>
    </row>
    <row r="143">
      <c r="C143" s="4" t="inlineStr">
        <is>
          <t>Oppvarmingsgenser</t>
        </is>
      </c>
      <c r="D143" s="4" t="inlineStr">
        <is>
          <t>THIME</t>
        </is>
      </c>
      <c r="E143" s="4" t="inlineStr"/>
      <c r="F143" s="4" t="n">
        <v>412</v>
      </c>
      <c r="I143" s="4" t="inlineStr"/>
    </row>
    <row r="144">
      <c r="C144" s="4" t="inlineStr">
        <is>
          <t>Tskjorte</t>
        </is>
      </c>
      <c r="D144" s="4" t="inlineStr">
        <is>
          <t>THIME</t>
        </is>
      </c>
      <c r="E144" s="4" t="inlineStr"/>
      <c r="F144" s="4" t="n">
        <v>227</v>
      </c>
      <c r="I144" s="4" t="inlineStr"/>
    </row>
    <row r="145">
      <c r="C145" s="4" t="inlineStr">
        <is>
          <t>Tskjorte</t>
        </is>
      </c>
      <c r="D145" s="4" t="inlineStr">
        <is>
          <t>THIME</t>
        </is>
      </c>
      <c r="E145" s="4" t="inlineStr"/>
      <c r="F145" s="4" t="n">
        <v>227</v>
      </c>
      <c r="I145" s="4" t="inlineStr"/>
    </row>
    <row r="146">
      <c r="B146" s="4" t="inlineStr">
        <is>
          <t>Nora Kjenstadbakk</t>
        </is>
      </c>
      <c r="C146" s="4" t="inlineStr">
        <is>
          <t>Hettegenser</t>
        </is>
      </c>
      <c r="D146" s="4" t="inlineStr">
        <is>
          <t xml:space="preserve">KJENSTADBAKK </t>
        </is>
      </c>
      <c r="E146" s="4" t="inlineStr"/>
      <c r="F146" s="4" t="n">
        <v>367</v>
      </c>
      <c r="G146" s="4">
        <f>SUM(f145:f149)</f>
        <v/>
      </c>
      <c r="I146" s="4" t="inlineStr"/>
    </row>
    <row r="147">
      <c r="C147" s="4" t="inlineStr">
        <is>
          <t>Joggebukse</t>
        </is>
      </c>
      <c r="D147" s="4" t="inlineStr"/>
      <c r="E147" s="4" t="inlineStr"/>
      <c r="F147" s="4" t="n">
        <v>279</v>
      </c>
      <c r="I147" s="4" t="inlineStr"/>
    </row>
    <row r="148">
      <c r="C148" s="4" t="inlineStr">
        <is>
          <t>Oppvarmingsgenser</t>
        </is>
      </c>
      <c r="D148" s="4" t="inlineStr">
        <is>
          <t xml:space="preserve">KJENSTADBAKK </t>
        </is>
      </c>
      <c r="E148" s="4" t="inlineStr"/>
      <c r="F148" s="4" t="n">
        <v>412</v>
      </c>
      <c r="I148" s="4" t="inlineStr"/>
    </row>
    <row r="149">
      <c r="C149" s="4" t="inlineStr">
        <is>
          <t>Tskjorte</t>
        </is>
      </c>
      <c r="D149" s="4" t="inlineStr">
        <is>
          <t>KJENSTADBAKK</t>
        </is>
      </c>
      <c r="E149" s="4" t="inlineStr"/>
      <c r="F149" s="4" t="n">
        <v>227</v>
      </c>
      <c r="I149" s="4" t="inlineStr"/>
    </row>
    <row r="150">
      <c r="C150" s="4" t="inlineStr">
        <is>
          <t>Tskjorte</t>
        </is>
      </c>
      <c r="D150" s="4" t="inlineStr">
        <is>
          <t>KJENSTADBAKK</t>
        </is>
      </c>
      <c r="E150" s="4" t="inlineStr"/>
      <c r="F150" s="4" t="n">
        <v>227</v>
      </c>
      <c r="I150" s="4" t="inlineStr"/>
    </row>
    <row r="151">
      <c r="B151" s="4" t="inlineStr">
        <is>
          <t>Siri Aasgard</t>
        </is>
      </c>
      <c r="C151" s="4" t="inlineStr">
        <is>
          <t>Crewneck</t>
        </is>
      </c>
      <c r="D151" s="4" t="inlineStr">
        <is>
          <t>AASGARD</t>
        </is>
      </c>
      <c r="E151" s="4" t="inlineStr"/>
      <c r="F151" s="4" t="n">
        <v>335</v>
      </c>
      <c r="G151" s="4">
        <f>SUM(f150:f153)</f>
        <v/>
      </c>
      <c r="I151" s="4" t="inlineStr"/>
    </row>
    <row r="152">
      <c r="C152" s="4" t="inlineStr">
        <is>
          <t>Oppvarmingsgenser</t>
        </is>
      </c>
      <c r="D152" s="4" t="inlineStr">
        <is>
          <t>AASGARD</t>
        </is>
      </c>
      <c r="E152" s="4" t="inlineStr"/>
      <c r="F152" s="4" t="n">
        <v>412</v>
      </c>
      <c r="I152" s="4" t="inlineStr"/>
    </row>
    <row r="153">
      <c r="C153" s="4" t="inlineStr">
        <is>
          <t>Tskjorte</t>
        </is>
      </c>
      <c r="D153" s="4" t="inlineStr">
        <is>
          <t>AASGARD</t>
        </is>
      </c>
      <c r="E153" s="4" t="inlineStr"/>
      <c r="F153" s="4" t="n">
        <v>227</v>
      </c>
      <c r="I153" s="4" t="inlineStr"/>
    </row>
    <row r="154">
      <c r="C154" s="4" t="inlineStr">
        <is>
          <t>Tskjorte</t>
        </is>
      </c>
      <c r="D154" s="4" t="inlineStr">
        <is>
          <t>AASGARD</t>
        </is>
      </c>
      <c r="E154" s="4" t="inlineStr"/>
      <c r="F154" s="4" t="n">
        <v>227</v>
      </c>
      <c r="I154" s="4" t="inlineStr"/>
    </row>
    <row r="155">
      <c r="A155" s="3" t="inlineStr">
        <is>
          <t>D2B</t>
        </is>
      </c>
      <c r="B155" s="5" t="inlineStr">
        <is>
          <t>Signe Granås</t>
        </is>
      </c>
      <c r="C155" s="5" t="inlineStr">
        <is>
          <t>Knebeskytter (kort)</t>
        </is>
      </c>
      <c r="D155" s="5" t="inlineStr"/>
      <c r="E155" s="5" t="inlineStr"/>
      <c r="F155" s="5" t="n">
        <v>321</v>
      </c>
      <c r="G155" s="5">
        <f>SUM(f154:f155)</f>
        <v/>
      </c>
      <c r="H155" s="5">
        <f>SUM(g154:g155)</f>
        <v/>
      </c>
      <c r="I155" s="5" t="inlineStr"/>
    </row>
    <row r="156">
      <c r="C156" s="5" t="inlineStr">
        <is>
          <t>Tskjorte</t>
        </is>
      </c>
      <c r="D156" s="5" t="inlineStr">
        <is>
          <t>GRANÅS</t>
        </is>
      </c>
      <c r="E156" s="5" t="inlineStr"/>
      <c r="F156" s="5" t="n">
        <v>227</v>
      </c>
      <c r="I156" s="5" t="inlineStr"/>
    </row>
    <row r="157">
      <c r="A157" s="3" t="inlineStr">
        <is>
          <t>D2C</t>
        </is>
      </c>
      <c r="B157" s="4" t="inlineStr">
        <is>
          <t>Lise Skaar Smines</t>
        </is>
      </c>
      <c r="C157" s="4" t="inlineStr">
        <is>
          <t>Crewneck</t>
        </is>
      </c>
      <c r="D157" s="4" t="inlineStr">
        <is>
          <t>SKAAR SMINES</t>
        </is>
      </c>
      <c r="E157" s="4" t="inlineStr"/>
      <c r="F157" s="4" t="n">
        <v>335</v>
      </c>
      <c r="G157" s="4">
        <f>SUM(f156:f162)</f>
        <v/>
      </c>
      <c r="H157" s="4">
        <f>SUM(g156:g162)</f>
        <v/>
      </c>
      <c r="I157" s="4" t="inlineStr"/>
    </row>
    <row r="158">
      <c r="C158" s="4" t="inlineStr">
        <is>
          <t>Hettejakke</t>
        </is>
      </c>
      <c r="D158" s="4" t="inlineStr">
        <is>
          <t>SKAAR SMINES</t>
        </is>
      </c>
      <c r="E158" s="4" t="n">
        <v>0</v>
      </c>
      <c r="F158" s="4" t="n">
        <v>453</v>
      </c>
      <c r="I158" s="4" t="inlineStr"/>
    </row>
    <row r="159">
      <c r="C159" s="4" t="inlineStr">
        <is>
          <t>Oppvarmingsgenser</t>
        </is>
      </c>
      <c r="D159" s="4" t="inlineStr">
        <is>
          <t>SKAAR SMINES</t>
        </is>
      </c>
      <c r="E159" s="4" t="inlineStr"/>
      <c r="F159" s="4" t="n">
        <v>412</v>
      </c>
      <c r="I159" s="4" t="inlineStr"/>
    </row>
    <row r="160">
      <c r="C160" s="4" t="inlineStr">
        <is>
          <t>Tskjorte</t>
        </is>
      </c>
      <c r="D160" s="4" t="inlineStr"/>
      <c r="E160" s="4" t="inlineStr"/>
      <c r="F160" s="4" t="n">
        <v>196</v>
      </c>
      <c r="I160" s="4" t="inlineStr"/>
    </row>
    <row r="161">
      <c r="C161" s="4" t="inlineStr">
        <is>
          <t>Tskjorte</t>
        </is>
      </c>
      <c r="D161" s="4" t="inlineStr"/>
      <c r="E161" s="4" t="inlineStr"/>
      <c r="F161" s="4" t="n">
        <v>196</v>
      </c>
      <c r="I161" s="4" t="inlineStr"/>
    </row>
    <row r="162">
      <c r="C162" s="4" t="inlineStr">
        <is>
          <t>Tskjorte</t>
        </is>
      </c>
      <c r="D162" s="4" t="inlineStr"/>
      <c r="E162" s="4" t="inlineStr"/>
      <c r="F162" s="4" t="n">
        <v>196</v>
      </c>
      <c r="I162" s="4" t="inlineStr"/>
    </row>
    <row r="163">
      <c r="C163" s="4" t="inlineStr">
        <is>
          <t>Tynn genser (bomull)</t>
        </is>
      </c>
      <c r="D163" s="4" t="inlineStr"/>
      <c r="E163" s="4" t="inlineStr"/>
      <c r="F163" s="4" t="n">
        <v>193</v>
      </c>
      <c r="I163" s="4" t="inlineStr"/>
    </row>
    <row r="164">
      <c r="A164" s="3" t="inlineStr">
        <is>
          <t>D3A</t>
        </is>
      </c>
      <c r="B164" s="5" t="inlineStr">
        <is>
          <t xml:space="preserve">Hannah Markhus </t>
        </is>
      </c>
      <c r="C164" s="5" t="inlineStr">
        <is>
          <t>Crewneck</t>
        </is>
      </c>
      <c r="D164" s="5" t="inlineStr">
        <is>
          <t>MARKHUS</t>
        </is>
      </c>
      <c r="E164" s="5" t="inlineStr"/>
      <c r="F164" s="5" t="n">
        <v>335</v>
      </c>
      <c r="G164" s="5">
        <f>SUM(f163:f164)</f>
        <v/>
      </c>
      <c r="H164" s="5">
        <f>SUM(g163:g164)</f>
        <v/>
      </c>
      <c r="I164" s="5" t="inlineStr"/>
    </row>
    <row r="165">
      <c r="C165" s="5" t="inlineStr">
        <is>
          <t>Tskjorte</t>
        </is>
      </c>
      <c r="D165" s="5" t="inlineStr">
        <is>
          <t>MARKHUS</t>
        </is>
      </c>
      <c r="E165" s="5" t="inlineStr"/>
      <c r="F165" s="5" t="n">
        <v>227</v>
      </c>
      <c r="I165" s="5" t="inlineStr"/>
    </row>
    <row r="166">
      <c r="A166" s="3" t="inlineStr">
        <is>
          <t>D3B</t>
        </is>
      </c>
      <c r="B166" s="4" t="inlineStr">
        <is>
          <t>Christel Berg</t>
        </is>
      </c>
      <c r="C166" s="4" t="inlineStr">
        <is>
          <t>Hettejakke</t>
        </is>
      </c>
      <c r="D166" s="4" t="inlineStr">
        <is>
          <t>BERG</t>
        </is>
      </c>
      <c r="E166" s="4" t="inlineStr"/>
      <c r="F166" s="4" t="n">
        <v>453</v>
      </c>
      <c r="G166" s="4">
        <f>SUM(f165:f167)</f>
        <v/>
      </c>
      <c r="H166" s="4">
        <f>SUM(g165:g170)</f>
        <v/>
      </c>
      <c r="I166" s="4" t="inlineStr"/>
    </row>
    <row r="167">
      <c r="C167" s="4" t="inlineStr">
        <is>
          <t>Tskjorte</t>
        </is>
      </c>
      <c r="D167" s="4" t="inlineStr">
        <is>
          <t>BERG</t>
        </is>
      </c>
      <c r="E167" s="4" t="inlineStr"/>
      <c r="F167" s="4" t="n">
        <v>227</v>
      </c>
      <c r="I167" s="4" t="inlineStr"/>
    </row>
    <row r="168">
      <c r="C168" s="4" t="inlineStr">
        <is>
          <t>Tskjorte</t>
        </is>
      </c>
      <c r="D168" s="4" t="inlineStr">
        <is>
          <t>BERG</t>
        </is>
      </c>
      <c r="E168" s="4" t="inlineStr"/>
      <c r="F168" s="4" t="n">
        <v>227</v>
      </c>
      <c r="I168" s="4" t="inlineStr"/>
    </row>
    <row r="169">
      <c r="B169" s="4" t="inlineStr">
        <is>
          <t>Lynn Ossege</t>
        </is>
      </c>
      <c r="C169" s="4" t="inlineStr">
        <is>
          <t>Half-zip</t>
        </is>
      </c>
      <c r="D169" s="4" t="inlineStr">
        <is>
          <t>OSSEGE</t>
        </is>
      </c>
      <c r="E169" s="4" t="inlineStr"/>
      <c r="F169" s="4" t="n">
        <v>453</v>
      </c>
      <c r="G169" s="4">
        <f>SUM(f168:f169)</f>
        <v/>
      </c>
      <c r="I169" s="4" t="inlineStr"/>
    </row>
    <row r="170">
      <c r="C170" s="4" t="inlineStr">
        <is>
          <t>Tskjorte</t>
        </is>
      </c>
      <c r="D170" s="4" t="inlineStr">
        <is>
          <t>OSSEGE</t>
        </is>
      </c>
      <c r="E170" s="4" t="inlineStr"/>
      <c r="F170" s="4" t="n">
        <v>227</v>
      </c>
      <c r="I170" s="4" t="inlineStr"/>
    </row>
    <row r="171">
      <c r="B171" s="4" t="inlineStr">
        <is>
          <t>Sofia Stenrød</t>
        </is>
      </c>
      <c r="C171" s="4" t="inlineStr">
        <is>
          <t>Oppvarmingsgenser</t>
        </is>
      </c>
      <c r="D171" s="4" t="inlineStr"/>
      <c r="E171" s="4" t="inlineStr"/>
      <c r="F171" s="4" t="n">
        <v>351</v>
      </c>
      <c r="G171" s="4">
        <f>SUM(f170:f170)</f>
        <v/>
      </c>
      <c r="I171" s="4" t="inlineStr"/>
    </row>
    <row r="172">
      <c r="A172" s="3" t="inlineStr">
        <is>
          <t>D3C</t>
        </is>
      </c>
      <c r="B172" s="5" t="inlineStr">
        <is>
          <t>Emma Matilda Silje Pontén Fredman</t>
        </is>
      </c>
      <c r="C172" s="5" t="inlineStr">
        <is>
          <t>Tskjorte</t>
        </is>
      </c>
      <c r="D172" s="5" t="inlineStr">
        <is>
          <t>PONTÉN</t>
        </is>
      </c>
      <c r="E172" s="5" t="inlineStr"/>
      <c r="F172" s="5" t="n">
        <v>227</v>
      </c>
      <c r="G172" s="5">
        <f>SUM(f171:f171)</f>
        <v/>
      </c>
      <c r="H172" s="5">
        <f>SUM(g171:g183)</f>
        <v/>
      </c>
      <c r="I172" s="5" t="inlineStr"/>
    </row>
    <row r="173">
      <c r="B173" s="5" t="inlineStr">
        <is>
          <t xml:space="preserve">Ingse Aasenhuus </t>
        </is>
      </c>
      <c r="C173" s="5" t="inlineStr">
        <is>
          <t>Tskjorte</t>
        </is>
      </c>
      <c r="D173" s="5" t="inlineStr">
        <is>
          <t xml:space="preserve">AASENHUUS </t>
        </is>
      </c>
      <c r="E173" s="5" t="inlineStr"/>
      <c r="F173" s="5" t="n">
        <v>227</v>
      </c>
      <c r="G173" s="5">
        <f>SUM(f172:f172)</f>
        <v/>
      </c>
      <c r="I173" s="5" t="inlineStr"/>
    </row>
    <row r="174">
      <c r="B174" s="5" t="inlineStr">
        <is>
          <t>Islam Qraiqe</t>
        </is>
      </c>
      <c r="C174" s="5" t="inlineStr">
        <is>
          <t>Knebeskytter (kort)</t>
        </is>
      </c>
      <c r="D174" s="5" t="inlineStr"/>
      <c r="E174" s="5" t="inlineStr"/>
      <c r="F174" s="5" t="n">
        <v>321</v>
      </c>
      <c r="G174" s="5">
        <f>SUM(f173:f178)</f>
        <v/>
      </c>
      <c r="I174" s="5" t="inlineStr"/>
    </row>
    <row r="175">
      <c r="C175" s="5" t="inlineStr">
        <is>
          <t>Shorts (dame)</t>
        </is>
      </c>
      <c r="D175" s="5" t="inlineStr"/>
      <c r="E175" s="5" t="inlineStr"/>
      <c r="F175" s="5" t="n">
        <v>259</v>
      </c>
      <c r="I175" s="5" t="inlineStr"/>
    </row>
    <row r="176">
      <c r="C176" s="5" t="inlineStr">
        <is>
          <t>Sleeves</t>
        </is>
      </c>
      <c r="D176" s="5" t="inlineStr"/>
      <c r="E176" s="5" t="inlineStr"/>
      <c r="F176" s="5" t="n">
        <v>179</v>
      </c>
      <c r="I176" s="5" t="inlineStr"/>
    </row>
    <row r="177">
      <c r="C177" s="5" t="inlineStr">
        <is>
          <t>Tskjorte</t>
        </is>
      </c>
      <c r="D177" s="5" t="inlineStr">
        <is>
          <t>QRAIQE</t>
        </is>
      </c>
      <c r="E177" s="5" t="inlineStr"/>
      <c r="F177" s="5" t="n">
        <v>227</v>
      </c>
      <c r="I177" s="5" t="inlineStr"/>
    </row>
    <row r="178">
      <c r="C178" s="5" t="inlineStr">
        <is>
          <t>Tskjorte</t>
        </is>
      </c>
      <c r="D178" s="5" t="inlineStr">
        <is>
          <t>QRAIQE</t>
        </is>
      </c>
      <c r="E178" s="5" t="inlineStr"/>
      <c r="F178" s="5" t="n">
        <v>227</v>
      </c>
      <c r="I178" s="5" t="inlineStr"/>
    </row>
    <row r="179">
      <c r="C179" s="5" t="inlineStr">
        <is>
          <t>Tskjorte</t>
        </is>
      </c>
      <c r="D179" s="5" t="inlineStr">
        <is>
          <t>QRAIQE</t>
        </is>
      </c>
      <c r="E179" s="5" t="inlineStr"/>
      <c r="F179" s="5" t="n">
        <v>227</v>
      </c>
      <c r="I179" s="5" t="inlineStr"/>
    </row>
    <row r="180">
      <c r="B180" s="5" t="inlineStr">
        <is>
          <t>Mari Nielsen Sollesnes</t>
        </is>
      </c>
      <c r="C180" s="5" t="inlineStr">
        <is>
          <t>Half-zip</t>
        </is>
      </c>
      <c r="D180" s="5" t="inlineStr"/>
      <c r="E180" s="5" t="inlineStr"/>
      <c r="F180" s="5" t="n">
        <v>422</v>
      </c>
      <c r="G180" s="5">
        <f>SUM(f179:f181)</f>
        <v/>
      </c>
      <c r="I180" s="5" t="inlineStr"/>
    </row>
    <row r="181">
      <c r="C181" s="5" t="inlineStr">
        <is>
          <t>Shorts (dame)</t>
        </is>
      </c>
      <c r="D181" s="5" t="inlineStr"/>
      <c r="E181" s="5" t="inlineStr"/>
      <c r="F181" s="5" t="n">
        <v>259</v>
      </c>
      <c r="I181" s="5" t="inlineStr"/>
    </row>
    <row r="182">
      <c r="C182" s="5" t="inlineStr">
        <is>
          <t>Tskjorte</t>
        </is>
      </c>
      <c r="D182" s="5" t="inlineStr"/>
      <c r="E182" s="5" t="inlineStr"/>
      <c r="F182" s="5" t="n">
        <v>196</v>
      </c>
      <c r="I182" s="5" t="inlineStr"/>
    </row>
    <row r="183">
      <c r="B183" s="5" t="inlineStr">
        <is>
          <t>Pia Bjørgum Gauthier</t>
        </is>
      </c>
      <c r="C183" s="5" t="inlineStr">
        <is>
          <t>Tskjorte</t>
        </is>
      </c>
      <c r="D183" s="5" t="inlineStr">
        <is>
          <t>GAUTHIER</t>
        </is>
      </c>
      <c r="E183" s="5" t="inlineStr"/>
      <c r="F183" s="5" t="n">
        <v>227</v>
      </c>
      <c r="G183" s="5">
        <f>SUM(f182:f183)</f>
        <v/>
      </c>
      <c r="I183" s="5" t="inlineStr">
        <is>
          <t>To svarte tskjorter med navn på begge:)</t>
        </is>
      </c>
    </row>
    <row r="184">
      <c r="C184" s="5" t="inlineStr">
        <is>
          <t>Tskjorte</t>
        </is>
      </c>
      <c r="D184" s="5" t="inlineStr">
        <is>
          <t>GAUTHIER</t>
        </is>
      </c>
      <c r="E184" s="5" t="inlineStr"/>
      <c r="F184" s="5" t="n">
        <v>227</v>
      </c>
      <c r="I184" s="5" t="inlineStr">
        <is>
          <t>To svarte tskjorter med navn på begge:)</t>
        </is>
      </c>
    </row>
    <row r="185">
      <c r="A185" s="3" t="inlineStr">
        <is>
          <t>D-Bredde</t>
        </is>
      </c>
      <c r="B185" s="4" t="inlineStr">
        <is>
          <t>Ronja Anneke Gundersen</t>
        </is>
      </c>
      <c r="C185" s="4" t="inlineStr">
        <is>
          <t>Hettejakke</t>
        </is>
      </c>
      <c r="D185" s="4" t="inlineStr">
        <is>
          <t>GUNDERSEN</t>
        </is>
      </c>
      <c r="E185" s="4" t="inlineStr"/>
      <c r="F185" s="4" t="n">
        <v>453</v>
      </c>
      <c r="G185" s="4">
        <f>SUM(f184:f187)</f>
        <v/>
      </c>
      <c r="H185" s="4">
        <f>SUM(g184:g187)</f>
        <v/>
      </c>
      <c r="I185" s="4" t="inlineStr"/>
    </row>
    <row r="186">
      <c r="C186" s="4" t="inlineStr">
        <is>
          <t>Oppvarmingsgenser</t>
        </is>
      </c>
      <c r="D186" s="4" t="inlineStr">
        <is>
          <t>GUNDERSEN</t>
        </is>
      </c>
      <c r="E186" s="4" t="inlineStr"/>
      <c r="F186" s="4" t="n">
        <v>412</v>
      </c>
      <c r="I186" s="4" t="inlineStr"/>
    </row>
    <row r="187">
      <c r="C187" s="4" t="inlineStr">
        <is>
          <t>Tskjorte</t>
        </is>
      </c>
      <c r="D187" s="4" t="inlineStr"/>
      <c r="E187" s="4" t="inlineStr"/>
      <c r="F187" s="4" t="n">
        <v>196</v>
      </c>
      <c r="I187" s="4" t="inlineStr"/>
    </row>
    <row r="188">
      <c r="C188" s="4" t="inlineStr">
        <is>
          <t>Tskjorte</t>
        </is>
      </c>
      <c r="D188" s="4" t="inlineStr"/>
      <c r="E188" s="4" t="inlineStr"/>
      <c r="F188" s="4" t="n">
        <v>196</v>
      </c>
      <c r="I188" s="4" t="inlineStr"/>
    </row>
  </sheetData>
  <mergeCells count="124">
    <mergeCell ref="G88"/>
    <mergeCell ref="G3:G11"/>
    <mergeCell ref="B61:B62"/>
    <mergeCell ref="B107:B113"/>
    <mergeCell ref="G104:G106"/>
    <mergeCell ref="A172:A184"/>
    <mergeCell ref="H142:H154"/>
    <mergeCell ref="B146:B150"/>
    <mergeCell ref="G63:G67"/>
    <mergeCell ref="G173"/>
    <mergeCell ref="G41:G54"/>
    <mergeCell ref="A164:A165"/>
    <mergeCell ref="B36:B40"/>
    <mergeCell ref="A119:A141"/>
    <mergeCell ref="B183:B184"/>
    <mergeCell ref="B174:B179"/>
    <mergeCell ref="G89:G92"/>
    <mergeCell ref="B22:B26"/>
    <mergeCell ref="B12:B18"/>
    <mergeCell ref="G116:G118"/>
    <mergeCell ref="G138:G141"/>
    <mergeCell ref="B142:B145"/>
    <mergeCell ref="G76:G79"/>
    <mergeCell ref="G172"/>
    <mergeCell ref="B114:B115"/>
    <mergeCell ref="B88"/>
    <mergeCell ref="B169:B170"/>
    <mergeCell ref="G183:G184"/>
    <mergeCell ref="B98:B100"/>
    <mergeCell ref="G107:G113"/>
    <mergeCell ref="B185:B188"/>
    <mergeCell ref="H119:H141"/>
    <mergeCell ref="G146:G150"/>
    <mergeCell ref="B128:B130"/>
    <mergeCell ref="G136:G137"/>
    <mergeCell ref="B155:B156"/>
    <mergeCell ref="B122:B125"/>
    <mergeCell ref="A166:A171"/>
    <mergeCell ref="G169:G170"/>
    <mergeCell ref="H3:H40"/>
    <mergeCell ref="H164:H165"/>
    <mergeCell ref="G27:G34"/>
    <mergeCell ref="G185:G188"/>
    <mergeCell ref="G151:G154"/>
    <mergeCell ref="G122:G125"/>
    <mergeCell ref="B173"/>
    <mergeCell ref="G119:G121"/>
    <mergeCell ref="A107:A118"/>
    <mergeCell ref="B85:B87"/>
    <mergeCell ref="G22:G26"/>
    <mergeCell ref="B27:B34"/>
    <mergeCell ref="G142:G145"/>
    <mergeCell ref="G114:G115"/>
    <mergeCell ref="B180:B182"/>
    <mergeCell ref="G98:G100"/>
    <mergeCell ref="B93:B97"/>
    <mergeCell ref="H88"/>
    <mergeCell ref="B55:B58"/>
    <mergeCell ref="G155:G156"/>
    <mergeCell ref="H172:H184"/>
    <mergeCell ref="B166:B168"/>
    <mergeCell ref="B68:B75"/>
    <mergeCell ref="A1:I1"/>
    <mergeCell ref="B3:B11"/>
    <mergeCell ref="H166:H171"/>
    <mergeCell ref="G19:G21"/>
    <mergeCell ref="H185:H188"/>
    <mergeCell ref="A142:A154"/>
    <mergeCell ref="G61:G62"/>
    <mergeCell ref="G126:G127"/>
    <mergeCell ref="B157:B163"/>
    <mergeCell ref="H104:H106"/>
    <mergeCell ref="G85:G87"/>
    <mergeCell ref="H107:H118"/>
    <mergeCell ref="B35"/>
    <mergeCell ref="B63:B67"/>
    <mergeCell ref="A41:A75"/>
    <mergeCell ref="B41:B54"/>
    <mergeCell ref="A89:A103"/>
    <mergeCell ref="H155:H156"/>
    <mergeCell ref="B131:B135"/>
    <mergeCell ref="G12:G18"/>
    <mergeCell ref="G55:G58"/>
    <mergeCell ref="G166:G168"/>
    <mergeCell ref="G68:G75"/>
    <mergeCell ref="A185:A188"/>
    <mergeCell ref="B164:B165"/>
    <mergeCell ref="B101:B103"/>
    <mergeCell ref="A155:A156"/>
    <mergeCell ref="B116:B118"/>
    <mergeCell ref="B126:B127"/>
    <mergeCell ref="G171"/>
    <mergeCell ref="G157:G163"/>
    <mergeCell ref="A104:A106"/>
    <mergeCell ref="A3:A40"/>
    <mergeCell ref="G164:G165"/>
    <mergeCell ref="B19:B21"/>
    <mergeCell ref="G128:G130"/>
    <mergeCell ref="B119:B121"/>
    <mergeCell ref="G35"/>
    <mergeCell ref="H157:H163"/>
    <mergeCell ref="B136:B137"/>
    <mergeCell ref="G80:G84"/>
    <mergeCell ref="H41:H75"/>
    <mergeCell ref="H89:H103"/>
    <mergeCell ref="G131:G135"/>
    <mergeCell ref="H76:H87"/>
    <mergeCell ref="B104:B106"/>
    <mergeCell ref="B151:B154"/>
    <mergeCell ref="G174:G179"/>
    <mergeCell ref="B80:B84"/>
    <mergeCell ref="G101:G103"/>
    <mergeCell ref="G36:G40"/>
    <mergeCell ref="G59:G60"/>
    <mergeCell ref="A157:A163"/>
    <mergeCell ref="A76:A87"/>
    <mergeCell ref="B171"/>
    <mergeCell ref="B89:B92"/>
    <mergeCell ref="B138:B141"/>
    <mergeCell ref="B172"/>
    <mergeCell ref="B76:B79"/>
    <mergeCell ref="G93:G97"/>
    <mergeCell ref="G180:G182"/>
    <mergeCell ref="B59:B6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Bestillingsskjema NTNUI Volleyball</t>
        </is>
      </c>
    </row>
    <row r="2">
      <c r="A2" s="2" t="inlineStr">
        <is>
          <t>Lag</t>
        </is>
      </c>
      <c r="B2" s="2" t="inlineStr">
        <is>
          <t>Navn</t>
        </is>
      </c>
      <c r="C2" s="2" t="inlineStr">
        <is>
          <t>Produkt</t>
        </is>
      </c>
      <c r="D2" s="2" t="inlineStr">
        <is>
          <t>Trykk?</t>
        </is>
      </c>
      <c r="E2" s="2" t="inlineStr">
        <is>
          <t>Trenerrabatt</t>
        </is>
      </c>
      <c r="F2" s="2" t="inlineStr">
        <is>
          <t>Kostnad enkelt produkt</t>
        </is>
      </c>
      <c r="G2" s="2" t="inlineStr">
        <is>
          <t>Kostnad enkelt personer</t>
        </is>
      </c>
      <c r="H2" s="2" t="inlineStr">
        <is>
          <t>Totalt per lag</t>
        </is>
      </c>
      <c r="I2" s="2" t="inlineStr">
        <is>
          <t>Kommmentar</t>
        </is>
      </c>
    </row>
    <row r="3">
      <c r="A3" s="3" t="inlineStr">
        <is>
          <t>H-ELITE</t>
        </is>
      </c>
      <c r="B3" s="4" t="inlineStr">
        <is>
          <t>Daniel Klopstad</t>
        </is>
      </c>
      <c r="C3" s="4" t="inlineStr">
        <is>
          <t>Oppvarmingsgenser</t>
        </is>
      </c>
      <c r="D3" s="4" t="inlineStr"/>
      <c r="E3" s="4" t="inlineStr"/>
      <c r="F3" s="4" t="n">
        <v>351</v>
      </c>
      <c r="G3" s="4">
        <f>SUM(f2:f5)</f>
        <v/>
      </c>
      <c r="H3" s="4">
        <f>SUM(g2:g23)</f>
        <v/>
      </c>
      <c r="I3" s="4" t="inlineStr"/>
    </row>
    <row r="4">
      <c r="C4" s="4" t="inlineStr">
        <is>
          <t>Shorts (herre)</t>
        </is>
      </c>
      <c r="D4" s="4" t="inlineStr"/>
      <c r="E4" s="4" t="inlineStr"/>
      <c r="F4" s="4" t="n">
        <v>188</v>
      </c>
      <c r="I4" s="4" t="inlineStr"/>
    </row>
    <row r="5">
      <c r="C5" s="4" t="inlineStr">
        <is>
          <t>Shorts (herre)</t>
        </is>
      </c>
      <c r="D5" s="4" t="inlineStr"/>
      <c r="E5" s="4" t="inlineStr"/>
      <c r="F5" s="4" t="n">
        <v>188</v>
      </c>
      <c r="I5" s="4" t="inlineStr"/>
    </row>
    <row r="6">
      <c r="C6" s="4" t="inlineStr">
        <is>
          <t>Shorts (herre)</t>
        </is>
      </c>
      <c r="D6" s="4" t="inlineStr"/>
      <c r="E6" s="4" t="inlineStr"/>
      <c r="F6" s="4" t="n">
        <v>188</v>
      </c>
      <c r="I6" s="4" t="inlineStr"/>
    </row>
    <row r="7">
      <c r="B7" s="4" t="inlineStr">
        <is>
          <t>Frithjof Moe Slinning</t>
        </is>
      </c>
      <c r="C7" s="4" t="inlineStr">
        <is>
          <t>Bag (38L)</t>
        </is>
      </c>
      <c r="D7" s="4" t="inlineStr"/>
      <c r="E7" s="4" t="inlineStr"/>
      <c r="F7" s="4" t="n">
        <v>391</v>
      </c>
      <c r="G7" s="4">
        <f>SUM(f6:f9)</f>
        <v/>
      </c>
      <c r="I7" s="4" t="inlineStr"/>
    </row>
    <row r="8">
      <c r="C8" s="4" t="inlineStr">
        <is>
          <t>Hettejakke</t>
        </is>
      </c>
      <c r="D8" s="4" t="inlineStr">
        <is>
          <t>SLINNING</t>
        </is>
      </c>
      <c r="E8" s="4" t="n">
        <v>210</v>
      </c>
      <c r="F8" s="4" t="n">
        <v>243</v>
      </c>
      <c r="I8" s="4" t="inlineStr"/>
    </row>
    <row r="9">
      <c r="C9" s="4" t="inlineStr">
        <is>
          <t>Shorts (herre)</t>
        </is>
      </c>
      <c r="D9" s="4" t="inlineStr"/>
      <c r="E9" s="4" t="inlineStr"/>
      <c r="F9" s="4" t="n">
        <v>188</v>
      </c>
      <c r="I9" s="4" t="inlineStr"/>
    </row>
    <row r="10">
      <c r="C10" s="4" t="inlineStr">
        <is>
          <t>Shorts (herre)</t>
        </is>
      </c>
      <c r="D10" s="4" t="inlineStr"/>
      <c r="E10" s="4" t="inlineStr"/>
      <c r="F10" s="4" t="n">
        <v>188</v>
      </c>
      <c r="I10" s="4" t="inlineStr"/>
    </row>
    <row r="11">
      <c r="B11" s="4" t="inlineStr">
        <is>
          <t>Jonas Dormagen-Taraldsrud</t>
        </is>
      </c>
      <c r="C11" s="4" t="inlineStr">
        <is>
          <t>Shorts (herre)</t>
        </is>
      </c>
      <c r="D11" s="4" t="inlineStr"/>
      <c r="E11" s="4" t="inlineStr"/>
      <c r="F11" s="4" t="n">
        <v>188</v>
      </c>
      <c r="G11" s="4">
        <f>SUM(f10:f10)</f>
        <v/>
      </c>
      <c r="I11" s="4" t="inlineStr"/>
    </row>
    <row r="12">
      <c r="B12" s="4" t="inlineStr">
        <is>
          <t>Kjell Eike Machalowsky</t>
        </is>
      </c>
      <c r="C12" s="4" t="inlineStr">
        <is>
          <t>Hettegenser</t>
        </is>
      </c>
      <c r="D12" s="4" t="inlineStr">
        <is>
          <t>MACHALOWSKY</t>
        </is>
      </c>
      <c r="E12" s="4" t="inlineStr"/>
      <c r="F12" s="4" t="n">
        <v>367</v>
      </c>
      <c r="G12" s="4">
        <f>SUM(f11:f13)</f>
        <v/>
      </c>
      <c r="I12" s="4" t="inlineStr"/>
    </row>
    <row r="13">
      <c r="C13" s="4" t="inlineStr">
        <is>
          <t>Shorts (herre)</t>
        </is>
      </c>
      <c r="D13" s="4" t="inlineStr"/>
      <c r="E13" s="4" t="inlineStr"/>
      <c r="F13" s="4" t="n">
        <v>188</v>
      </c>
      <c r="I13" s="4" t="inlineStr"/>
    </row>
    <row r="14">
      <c r="C14" s="4" t="inlineStr">
        <is>
          <t>Tynn genser (bomull)</t>
        </is>
      </c>
      <c r="D14" s="4" t="inlineStr"/>
      <c r="E14" s="4" t="inlineStr"/>
      <c r="F14" s="4" t="n">
        <v>193</v>
      </c>
      <c r="I14" s="4" t="inlineStr"/>
    </row>
    <row r="15">
      <c r="B15" s="4" t="inlineStr">
        <is>
          <t>Ludvik Mathias Grasdal</t>
        </is>
      </c>
      <c r="C15" s="4" t="inlineStr">
        <is>
          <t>Bag (38L)</t>
        </is>
      </c>
      <c r="D15" s="4" t="inlineStr"/>
      <c r="E15" s="4" t="inlineStr"/>
      <c r="F15" s="4" t="n">
        <v>391</v>
      </c>
      <c r="G15" s="4">
        <f>SUM(f14:f18)</f>
        <v/>
      </c>
      <c r="I15" s="4" t="inlineStr"/>
    </row>
    <row r="16">
      <c r="C16" s="4" t="inlineStr">
        <is>
          <t>Half-zip</t>
        </is>
      </c>
      <c r="D16" s="4" t="inlineStr">
        <is>
          <t>Grasdal</t>
        </is>
      </c>
      <c r="E16" s="4" t="inlineStr"/>
      <c r="F16" s="4" t="n">
        <v>453</v>
      </c>
      <c r="I16" s="4" t="inlineStr"/>
    </row>
    <row r="17">
      <c r="C17" s="4" t="inlineStr">
        <is>
          <t>Hettejakke</t>
        </is>
      </c>
      <c r="D17" s="4" t="inlineStr">
        <is>
          <t>COACH</t>
        </is>
      </c>
      <c r="E17" s="4" t="n">
        <v>0</v>
      </c>
      <c r="F17" s="4" t="n">
        <v>453</v>
      </c>
      <c r="I17" s="4" t="inlineStr">
        <is>
          <t>Ludvik Mathias Grasdal er ikke trener?</t>
        </is>
      </c>
    </row>
    <row r="18">
      <c r="C18" s="4" t="inlineStr">
        <is>
          <t>Shorts (herre)</t>
        </is>
      </c>
      <c r="D18" s="4" t="inlineStr"/>
      <c r="E18" s="4" t="inlineStr"/>
      <c r="F18" s="4" t="n">
        <v>188</v>
      </c>
      <c r="I18" s="4" t="inlineStr"/>
    </row>
    <row r="19">
      <c r="C19" s="4" t="inlineStr">
        <is>
          <t>Shorts (herre)</t>
        </is>
      </c>
      <c r="D19" s="4" t="inlineStr"/>
      <c r="E19" s="4" t="inlineStr"/>
      <c r="F19" s="4" t="n">
        <v>188</v>
      </c>
      <c r="I19" s="4" t="inlineStr"/>
    </row>
    <row r="20">
      <c r="B20" s="4" t="inlineStr">
        <is>
          <t>Simon Klopstad</t>
        </is>
      </c>
      <c r="C20" s="4" t="inlineStr">
        <is>
          <t>Oppvarmingsgenser</t>
        </is>
      </c>
      <c r="D20" s="4" t="inlineStr">
        <is>
          <t>KLOPSTAD</t>
        </is>
      </c>
      <c r="E20" s="4" t="inlineStr"/>
      <c r="F20" s="4" t="n">
        <v>412</v>
      </c>
      <c r="G20" s="4">
        <f>SUM(f19:f19)</f>
        <v/>
      </c>
      <c r="I20" s="4" t="inlineStr"/>
    </row>
    <row r="21">
      <c r="B21" s="4" t="inlineStr">
        <is>
          <t>Weston Kirchman</t>
        </is>
      </c>
      <c r="C21" s="4" t="inlineStr">
        <is>
          <t>Crewneck</t>
        </is>
      </c>
      <c r="D21" s="4" t="inlineStr">
        <is>
          <t>KIRCHMAN</t>
        </is>
      </c>
      <c r="E21" s="4" t="inlineStr"/>
      <c r="F21" s="4" t="n">
        <v>335</v>
      </c>
      <c r="G21" s="4">
        <f>SUM(f20:f23)</f>
        <v/>
      </c>
      <c r="I21" s="4" t="inlineStr"/>
    </row>
    <row r="22">
      <c r="C22" s="4" t="inlineStr">
        <is>
          <t>Shorts (herre)</t>
        </is>
      </c>
      <c r="D22" s="4" t="inlineStr"/>
      <c r="E22" s="4" t="inlineStr"/>
      <c r="F22" s="4" t="n">
        <v>188</v>
      </c>
      <c r="I22" s="4" t="inlineStr"/>
    </row>
    <row r="23">
      <c r="C23" s="4" t="inlineStr">
        <is>
          <t>Shorts (herre)</t>
        </is>
      </c>
      <c r="D23" s="4" t="inlineStr"/>
      <c r="E23" s="4" t="inlineStr"/>
      <c r="F23" s="4" t="n">
        <v>188</v>
      </c>
      <c r="I23" s="4" t="inlineStr"/>
    </row>
    <row r="24">
      <c r="C24" s="4" t="inlineStr">
        <is>
          <t>Tynn genser (bomull)</t>
        </is>
      </c>
      <c r="D24" s="4" t="inlineStr"/>
      <c r="E24" s="4" t="inlineStr"/>
      <c r="F24" s="4" t="n">
        <v>193</v>
      </c>
      <c r="I24" s="4" t="inlineStr"/>
    </row>
    <row r="25">
      <c r="A25" s="3" t="inlineStr">
        <is>
          <t>H1</t>
        </is>
      </c>
      <c r="B25" s="5" t="inlineStr">
        <is>
          <t>Ask Barø Lerfald</t>
        </is>
      </c>
      <c r="C25" s="5" t="inlineStr">
        <is>
          <t>Half-zip</t>
        </is>
      </c>
      <c r="D25" s="5" t="inlineStr">
        <is>
          <t>BARØ</t>
        </is>
      </c>
      <c r="E25" s="5" t="inlineStr"/>
      <c r="F25" s="5" t="n">
        <v>453</v>
      </c>
      <c r="G25" s="5">
        <f>SUM(f24:f33)</f>
        <v/>
      </c>
      <c r="H25" s="5">
        <f>SUM(g24:g43)</f>
        <v/>
      </c>
      <c r="I25" s="5" t="inlineStr"/>
    </row>
    <row r="26">
      <c r="C26" s="5" t="inlineStr">
        <is>
          <t>Hettejakke</t>
        </is>
      </c>
      <c r="D26" s="5" t="inlineStr">
        <is>
          <t>BARØ</t>
        </is>
      </c>
      <c r="E26" s="5" t="inlineStr"/>
      <c r="F26" s="5" t="n">
        <v>453</v>
      </c>
      <c r="I26" s="5" t="inlineStr"/>
    </row>
    <row r="27">
      <c r="C27" s="5" t="inlineStr">
        <is>
          <t>Joggebukse</t>
        </is>
      </c>
      <c r="D27" s="5" t="inlineStr"/>
      <c r="E27" s="5" t="inlineStr"/>
      <c r="F27" s="5" t="n">
        <v>279</v>
      </c>
      <c r="I27" s="5" t="inlineStr"/>
    </row>
    <row r="28">
      <c r="C28" s="5" t="inlineStr">
        <is>
          <t>Joggebukse</t>
        </is>
      </c>
      <c r="D28" s="5" t="inlineStr"/>
      <c r="E28" s="5" t="inlineStr"/>
      <c r="F28" s="5" t="n">
        <v>279</v>
      </c>
      <c r="I28" s="5" t="inlineStr"/>
    </row>
    <row r="29">
      <c r="C29" s="5" t="inlineStr">
        <is>
          <t>Joggebukse</t>
        </is>
      </c>
      <c r="D29" s="5" t="inlineStr"/>
      <c r="E29" s="5" t="inlineStr"/>
      <c r="F29" s="5" t="n">
        <v>279</v>
      </c>
      <c r="I29" s="5" t="inlineStr"/>
    </row>
    <row r="30">
      <c r="C30" s="5" t="inlineStr">
        <is>
          <t>Oppvarmingsgenser</t>
        </is>
      </c>
      <c r="D30" s="5" t="inlineStr">
        <is>
          <t>BARØ</t>
        </is>
      </c>
      <c r="E30" s="5" t="inlineStr"/>
      <c r="F30" s="5" t="n">
        <v>412</v>
      </c>
      <c r="I30" s="5" t="inlineStr"/>
    </row>
    <row r="31">
      <c r="C31" s="5" t="inlineStr">
        <is>
          <t>Oppvarmingsgenser</t>
        </is>
      </c>
      <c r="D31" s="5" t="inlineStr">
        <is>
          <t>BARØ</t>
        </is>
      </c>
      <c r="E31" s="5" t="inlineStr"/>
      <c r="F31" s="5" t="n">
        <v>412</v>
      </c>
      <c r="I31" s="5" t="inlineStr"/>
    </row>
    <row r="32">
      <c r="C32" s="5" t="inlineStr">
        <is>
          <t>Oppvarmingsgenser</t>
        </is>
      </c>
      <c r="D32" s="5" t="inlineStr">
        <is>
          <t>BARØ</t>
        </is>
      </c>
      <c r="E32" s="5" t="inlineStr"/>
      <c r="F32" s="5" t="n">
        <v>412</v>
      </c>
      <c r="I32" s="5" t="inlineStr"/>
    </row>
    <row r="33">
      <c r="C33" s="5" t="inlineStr">
        <is>
          <t>Shorts (herre)</t>
        </is>
      </c>
      <c r="D33" s="5" t="inlineStr"/>
      <c r="E33" s="5" t="inlineStr"/>
      <c r="F33" s="5" t="n">
        <v>188</v>
      </c>
      <c r="I33" s="5" t="inlineStr"/>
    </row>
    <row r="34">
      <c r="C34" s="5" t="inlineStr">
        <is>
          <t>Shorts (herre)</t>
        </is>
      </c>
      <c r="D34" s="5" t="inlineStr"/>
      <c r="E34" s="5" t="inlineStr"/>
      <c r="F34" s="5" t="n">
        <v>188</v>
      </c>
      <c r="I34" s="5" t="inlineStr"/>
    </row>
    <row r="35">
      <c r="B35" s="5" t="inlineStr">
        <is>
          <t>Chrisander lykke</t>
        </is>
      </c>
      <c r="C35" s="5" t="inlineStr">
        <is>
          <t>Shorts (herre)</t>
        </is>
      </c>
      <c r="D35" s="5" t="inlineStr"/>
      <c r="E35" s="5" t="inlineStr"/>
      <c r="F35" s="5" t="n">
        <v>188</v>
      </c>
      <c r="G35" s="5">
        <f>SUM(f34:f35)</f>
        <v/>
      </c>
      <c r="I35" s="5" t="inlineStr"/>
    </row>
    <row r="36">
      <c r="C36" s="5" t="inlineStr">
        <is>
          <t>Shorts (herre)</t>
        </is>
      </c>
      <c r="D36" s="5" t="inlineStr"/>
      <c r="E36" s="5" t="inlineStr"/>
      <c r="F36" s="5" t="n">
        <v>188</v>
      </c>
      <c r="I36" s="5" t="inlineStr"/>
    </row>
    <row r="37">
      <c r="B37" s="5" t="inlineStr">
        <is>
          <t>Markus Wallstad Hamansen</t>
        </is>
      </c>
      <c r="C37" s="5" t="inlineStr">
        <is>
          <t>Shorts (herre)</t>
        </is>
      </c>
      <c r="D37" s="5" t="inlineStr"/>
      <c r="E37" s="5" t="inlineStr"/>
      <c r="F37" s="5" t="n">
        <v>188</v>
      </c>
      <c r="G37" s="5">
        <f>SUM(f36:f36)</f>
        <v/>
      </c>
      <c r="I37" s="5" t="inlineStr"/>
    </row>
    <row r="38">
      <c r="B38" s="5" t="inlineStr">
        <is>
          <t>Mats Børja Berg</t>
        </is>
      </c>
      <c r="C38" s="5" t="inlineStr">
        <is>
          <t>Hettejakke</t>
        </is>
      </c>
      <c r="D38" s="5" t="inlineStr">
        <is>
          <t>BØRJA</t>
        </is>
      </c>
      <c r="E38" s="5" t="n">
        <v>0</v>
      </c>
      <c r="F38" s="5" t="n">
        <v>453</v>
      </c>
      <c r="G38" s="5">
        <f>SUM(f37:f39)</f>
        <v/>
      </c>
      <c r="I38" s="5" t="inlineStr">
        <is>
          <t>Mats Børja Berg er ikke trener?</t>
        </is>
      </c>
    </row>
    <row r="39">
      <c r="C39" s="5" t="inlineStr">
        <is>
          <t>Joggebukse</t>
        </is>
      </c>
      <c r="D39" s="5" t="inlineStr"/>
      <c r="E39" s="5" t="inlineStr"/>
      <c r="F39" s="5" t="n">
        <v>279</v>
      </c>
      <c r="I39" s="5" t="inlineStr"/>
    </row>
    <row r="40">
      <c r="C40" s="5" t="inlineStr">
        <is>
          <t>Shorts (herre)</t>
        </is>
      </c>
      <c r="D40" s="5" t="inlineStr"/>
      <c r="E40" s="5" t="inlineStr"/>
      <c r="F40" s="5" t="n">
        <v>188</v>
      </c>
      <c r="I40" s="5" t="inlineStr"/>
    </row>
    <row r="41">
      <c r="B41" s="5" t="inlineStr">
        <is>
          <t>Vetle Tobias Lannem</t>
        </is>
      </c>
      <c r="C41" s="5" t="inlineStr">
        <is>
          <t>Joggebukse</t>
        </is>
      </c>
      <c r="D41" s="5" t="inlineStr"/>
      <c r="E41" s="5" t="inlineStr"/>
      <c r="F41" s="5" t="n">
        <v>279</v>
      </c>
      <c r="G41" s="5">
        <f>SUM(f40:f43)</f>
        <v/>
      </c>
      <c r="I41" s="5" t="inlineStr"/>
    </row>
    <row r="42">
      <c r="C42" s="5" t="inlineStr">
        <is>
          <t>Oppvarmingsgenser</t>
        </is>
      </c>
      <c r="D42" s="5" t="inlineStr">
        <is>
          <t>LANNEM</t>
        </is>
      </c>
      <c r="E42" s="5" t="inlineStr"/>
      <c r="F42" s="5" t="n">
        <v>412</v>
      </c>
      <c r="I42" s="5" t="inlineStr">
        <is>
          <t>PRINT P Å DENNEEE OGSÅ</t>
        </is>
      </c>
    </row>
    <row r="43">
      <c r="C43" s="5" t="inlineStr">
        <is>
          <t>Shorts (herre)</t>
        </is>
      </c>
      <c r="D43" s="5" t="inlineStr"/>
      <c r="E43" s="5" t="inlineStr"/>
      <c r="F43" s="5" t="n">
        <v>188</v>
      </c>
      <c r="I43" s="5" t="inlineStr"/>
    </row>
    <row r="44">
      <c r="C44" s="5" t="inlineStr">
        <is>
          <t>Shorts (herre)</t>
        </is>
      </c>
      <c r="D44" s="5" t="inlineStr"/>
      <c r="E44" s="5" t="inlineStr"/>
      <c r="F44" s="5" t="n">
        <v>188</v>
      </c>
      <c r="I44" s="5" t="inlineStr"/>
    </row>
    <row r="45">
      <c r="A45" s="3" t="inlineStr">
        <is>
          <t>H2C</t>
        </is>
      </c>
      <c r="B45" s="4" t="inlineStr">
        <is>
          <t>Alejandro Bautista Diaz</t>
        </is>
      </c>
      <c r="C45" s="4" t="inlineStr">
        <is>
          <t>Half-zip</t>
        </is>
      </c>
      <c r="D45" s="4" t="inlineStr"/>
      <c r="E45" s="4" t="inlineStr"/>
      <c r="F45" s="4" t="n">
        <v>422</v>
      </c>
      <c r="G45" s="4">
        <f>SUM(f44:f46)</f>
        <v/>
      </c>
      <c r="H45" s="4">
        <f>SUM(g44:g51)</f>
        <v/>
      </c>
      <c r="I45" s="4" t="inlineStr"/>
    </row>
    <row r="46">
      <c r="C46" s="4" t="inlineStr">
        <is>
          <t>Shorts (herre)</t>
        </is>
      </c>
      <c r="D46" s="4" t="inlineStr"/>
      <c r="E46" s="4" t="inlineStr"/>
      <c r="F46" s="4" t="n">
        <v>188</v>
      </c>
      <c r="I46" s="4" t="inlineStr"/>
    </row>
    <row r="47">
      <c r="C47" s="4" t="inlineStr">
        <is>
          <t>Shorts (herre)</t>
        </is>
      </c>
      <c r="D47" s="4" t="inlineStr"/>
      <c r="E47" s="4" t="inlineStr"/>
      <c r="F47" s="4" t="n">
        <v>188</v>
      </c>
      <c r="I47" s="4" t="inlineStr"/>
    </row>
    <row r="48">
      <c r="B48" s="4" t="inlineStr">
        <is>
          <t>Andreas Bruun Paulsen</t>
        </is>
      </c>
      <c r="C48" s="4" t="inlineStr">
        <is>
          <t>Half-zip</t>
        </is>
      </c>
      <c r="D48" s="4" t="inlineStr">
        <is>
          <t>PAULSEN</t>
        </is>
      </c>
      <c r="E48" s="4" t="inlineStr"/>
      <c r="F48" s="4" t="n">
        <v>453</v>
      </c>
      <c r="G48" s="4">
        <f>SUM(f47:f49)</f>
        <v/>
      </c>
      <c r="I48" s="4" t="inlineStr"/>
    </row>
    <row r="49">
      <c r="C49" s="4" t="inlineStr">
        <is>
          <t>Kompresjonsgenser</t>
        </is>
      </c>
      <c r="D49" s="4" t="inlineStr"/>
      <c r="E49" s="4" t="inlineStr"/>
      <c r="F49" s="4" t="n">
        <v>356</v>
      </c>
      <c r="I49" s="4" t="inlineStr"/>
    </row>
    <row r="50">
      <c r="C50" s="4" t="inlineStr">
        <is>
          <t>Shorts (herre)</t>
        </is>
      </c>
      <c r="D50" s="4" t="inlineStr"/>
      <c r="E50" s="4" t="inlineStr"/>
      <c r="F50" s="4" t="n">
        <v>188</v>
      </c>
      <c r="I50" s="4" t="inlineStr"/>
    </row>
    <row r="51">
      <c r="B51" s="4" t="inlineStr">
        <is>
          <t>Fredrik Ånensen Balas</t>
        </is>
      </c>
      <c r="C51" s="4" t="inlineStr">
        <is>
          <t>Half-zip</t>
        </is>
      </c>
      <c r="D51" s="4" t="inlineStr"/>
      <c r="E51" s="4" t="inlineStr"/>
      <c r="F51" s="4" t="n">
        <v>422</v>
      </c>
      <c r="G51" s="4">
        <f>SUM(f50:f51)</f>
        <v/>
      </c>
      <c r="I51" s="4" t="inlineStr"/>
    </row>
    <row r="52">
      <c r="C52" s="4" t="inlineStr">
        <is>
          <t>Shorts (herre)</t>
        </is>
      </c>
      <c r="D52" s="4" t="inlineStr"/>
      <c r="E52" s="4" t="inlineStr"/>
      <c r="F52" s="4" t="n">
        <v>188</v>
      </c>
      <c r="I52" s="4" t="inlineStr"/>
    </row>
    <row r="53">
      <c r="A53" s="3" t="inlineStr">
        <is>
          <t>H3A</t>
        </is>
      </c>
      <c r="B53" s="5" t="inlineStr">
        <is>
          <t xml:space="preserve">Erlend Szontheimer </t>
        </is>
      </c>
      <c r="C53" s="5" t="inlineStr">
        <is>
          <t>Oppvarmingsgenser</t>
        </is>
      </c>
      <c r="D53" s="5" t="inlineStr">
        <is>
          <t>SZONTHEIMER</t>
        </is>
      </c>
      <c r="E53" s="5" t="inlineStr"/>
      <c r="F53" s="5" t="n">
        <v>412</v>
      </c>
      <c r="G53" s="5">
        <f>SUM(f52:f52)</f>
        <v/>
      </c>
      <c r="H53" s="5">
        <f>SUM(g52:g52)</f>
        <v/>
      </c>
      <c r="I53" s="5" t="inlineStr">
        <is>
          <t>Vil bruke trenerrabatten på denne</t>
        </is>
      </c>
    </row>
    <row r="54">
      <c r="A54" s="3" t="inlineStr">
        <is>
          <t>H3B</t>
        </is>
      </c>
      <c r="B54" s="4" t="inlineStr">
        <is>
          <t>Edvard Hjertvik Aasen</t>
        </is>
      </c>
      <c r="C54" s="4" t="inlineStr">
        <is>
          <t>Half-zip</t>
        </is>
      </c>
      <c r="D54" s="4" t="inlineStr">
        <is>
          <t>HJERTVIK AASEN</t>
        </is>
      </c>
      <c r="E54" s="4" t="inlineStr"/>
      <c r="F54" s="4" t="n">
        <v>453</v>
      </c>
      <c r="G54" s="4">
        <f>SUM(f53:f55)</f>
        <v/>
      </c>
      <c r="H54" s="4">
        <f>SUM(g53:g62)</f>
        <v/>
      </c>
      <c r="I54" s="4" t="inlineStr"/>
    </row>
    <row r="55">
      <c r="C55" s="4" t="inlineStr">
        <is>
          <t>Shorts (herre)</t>
        </is>
      </c>
      <c r="D55" s="4" t="inlineStr"/>
      <c r="E55" s="4" t="inlineStr"/>
      <c r="F55" s="4" t="n">
        <v>188</v>
      </c>
      <c r="I55" s="4" t="inlineStr"/>
    </row>
    <row r="56">
      <c r="C56" s="4" t="inlineStr">
        <is>
          <t>Shorts (herre)</t>
        </is>
      </c>
      <c r="D56" s="4" t="inlineStr"/>
      <c r="E56" s="4" t="inlineStr"/>
      <c r="F56" s="4" t="n">
        <v>188</v>
      </c>
      <c r="I56" s="4" t="inlineStr"/>
    </row>
    <row r="57">
      <c r="B57" s="4" t="inlineStr">
        <is>
          <t>Omran Wahidi</t>
        </is>
      </c>
      <c r="C57" s="4" t="inlineStr">
        <is>
          <t>Half-zip</t>
        </is>
      </c>
      <c r="D57" s="4" t="inlineStr">
        <is>
          <t>WAHIDI</t>
        </is>
      </c>
      <c r="E57" s="4" t="inlineStr"/>
      <c r="F57" s="4" t="n">
        <v>453</v>
      </c>
      <c r="G57" s="4">
        <f>SUM(f56:f57)</f>
        <v/>
      </c>
      <c r="I57" s="4" t="inlineStr"/>
    </row>
    <row r="58">
      <c r="C58" s="4" t="inlineStr">
        <is>
          <t>Shorts (herre)</t>
        </is>
      </c>
      <c r="D58" s="4" t="inlineStr"/>
      <c r="E58" s="4" t="inlineStr"/>
      <c r="F58" s="4" t="n">
        <v>188</v>
      </c>
      <c r="I58" s="4" t="inlineStr"/>
    </row>
    <row r="59">
      <c r="B59" s="4" t="inlineStr">
        <is>
          <t>Snorre Indergaard Drønnen</t>
        </is>
      </c>
      <c r="C59" s="4" t="inlineStr">
        <is>
          <t>Hettegenser</t>
        </is>
      </c>
      <c r="D59" s="4" t="inlineStr">
        <is>
          <t>KORTKONGEN</t>
        </is>
      </c>
      <c r="E59" s="4" t="inlineStr"/>
      <c r="F59" s="4" t="n">
        <v>367</v>
      </c>
      <c r="G59" s="4">
        <f>SUM(f58:f59)</f>
        <v/>
      </c>
      <c r="I59" s="4" t="inlineStr"/>
    </row>
    <row r="60">
      <c r="C60" s="4" t="inlineStr">
        <is>
          <t>Joggebukse</t>
        </is>
      </c>
      <c r="D60" s="4" t="inlineStr"/>
      <c r="E60" s="4" t="inlineStr"/>
      <c r="F60" s="4" t="n">
        <v>279</v>
      </c>
      <c r="I60" s="4" t="inlineStr"/>
    </row>
    <row r="61">
      <c r="B61" s="4" t="inlineStr">
        <is>
          <t xml:space="preserve">Sune Röse </t>
        </is>
      </c>
      <c r="C61" s="4" t="inlineStr">
        <is>
          <t>Half-zip</t>
        </is>
      </c>
      <c r="D61" s="4" t="inlineStr">
        <is>
          <t>RÖSE</t>
        </is>
      </c>
      <c r="E61" s="4" t="inlineStr"/>
      <c r="F61" s="4" t="n">
        <v>453</v>
      </c>
      <c r="G61" s="4">
        <f>SUM(f60:f62)</f>
        <v/>
      </c>
      <c r="I61" s="4" t="inlineStr"/>
    </row>
    <row r="62">
      <c r="C62" s="4" t="inlineStr">
        <is>
          <t>Sleeves</t>
        </is>
      </c>
      <c r="D62" s="4" t="inlineStr"/>
      <c r="E62" s="4" t="inlineStr"/>
      <c r="F62" s="4" t="n">
        <v>179</v>
      </c>
      <c r="I62" s="4" t="inlineStr"/>
    </row>
    <row r="63">
      <c r="C63" s="4" t="inlineStr">
        <is>
          <t>Sleeves</t>
        </is>
      </c>
      <c r="D63" s="4" t="inlineStr"/>
      <c r="E63" s="4" t="inlineStr"/>
      <c r="F63" s="4" t="n">
        <v>179</v>
      </c>
      <c r="I63" s="4" t="inlineStr"/>
    </row>
    <row r="64">
      <c r="A64" s="3" t="inlineStr">
        <is>
          <t>H4A</t>
        </is>
      </c>
      <c r="B64" s="5" t="inlineStr">
        <is>
          <t>Henrikke Søvik Lyngdal</t>
        </is>
      </c>
      <c r="C64" s="5" t="inlineStr">
        <is>
          <t>Crewneck</t>
        </is>
      </c>
      <c r="D64" s="5" t="inlineStr">
        <is>
          <t>LYNGDAL</t>
        </is>
      </c>
      <c r="E64" s="5" t="inlineStr"/>
      <c r="F64" s="5" t="n">
        <v>335</v>
      </c>
      <c r="G64" s="5">
        <f>SUM(f63:f65)</f>
        <v/>
      </c>
      <c r="H64" s="5">
        <f>SUM(g63:g65)</f>
        <v/>
      </c>
      <c r="I64" s="5" t="inlineStr"/>
    </row>
    <row r="65">
      <c r="C65" s="5" t="inlineStr">
        <is>
          <t>Joggebukse</t>
        </is>
      </c>
      <c r="D65" s="5" t="inlineStr"/>
      <c r="E65" s="5" t="inlineStr"/>
      <c r="F65" s="5" t="n">
        <v>279</v>
      </c>
      <c r="I65" s="5" t="inlineStr"/>
    </row>
    <row r="66">
      <c r="C66" s="5" t="inlineStr">
        <is>
          <t>Oppvarmingsgenser</t>
        </is>
      </c>
      <c r="D66" s="5" t="inlineStr">
        <is>
          <t>LYNGDAL</t>
        </is>
      </c>
      <c r="E66" s="5" t="inlineStr"/>
      <c r="F66" s="5" t="n">
        <v>412</v>
      </c>
      <c r="I66" s="5" t="inlineStr"/>
    </row>
    <row r="67">
      <c r="A67" s="3" t="inlineStr">
        <is>
          <t>H4B</t>
        </is>
      </c>
      <c r="B67" s="4" t="inlineStr">
        <is>
          <t>Aleksander Hille</t>
        </is>
      </c>
      <c r="C67" s="4" t="inlineStr">
        <is>
          <t>Crewneck</t>
        </is>
      </c>
      <c r="D67" s="4" t="inlineStr">
        <is>
          <t>HILLE</t>
        </is>
      </c>
      <c r="E67" s="4" t="inlineStr"/>
      <c r="F67" s="4" t="n">
        <v>335</v>
      </c>
      <c r="G67" s="4">
        <f>SUM(f66:f69)</f>
        <v/>
      </c>
      <c r="H67" s="4">
        <f>SUM(g66:g72)</f>
        <v/>
      </c>
      <c r="I67" s="4" t="inlineStr"/>
    </row>
    <row r="68">
      <c r="C68" s="4" t="inlineStr">
        <is>
          <t>Half-zip</t>
        </is>
      </c>
      <c r="D68" s="4" t="inlineStr">
        <is>
          <t>HILLE</t>
        </is>
      </c>
      <c r="E68" s="4" t="inlineStr"/>
      <c r="F68" s="4" t="n">
        <v>453</v>
      </c>
      <c r="I68" s="4" t="inlineStr"/>
    </row>
    <row r="69">
      <c r="C69" s="4" t="inlineStr">
        <is>
          <t>Joggebukse</t>
        </is>
      </c>
      <c r="D69" s="4" t="inlineStr"/>
      <c r="E69" s="4" t="inlineStr"/>
      <c r="F69" s="4" t="n">
        <v>279</v>
      </c>
      <c r="I69" s="4" t="inlineStr"/>
    </row>
    <row r="70">
      <c r="C70" s="4" t="inlineStr">
        <is>
          <t>Shorts (herre)</t>
        </is>
      </c>
      <c r="D70" s="4" t="inlineStr"/>
      <c r="E70" s="4" t="inlineStr"/>
      <c r="F70" s="4" t="n">
        <v>188</v>
      </c>
      <c r="I70" s="4" t="inlineStr"/>
    </row>
    <row r="71">
      <c r="B71" s="4" t="inlineStr">
        <is>
          <t>Kenneth Olstad Johnsen</t>
        </is>
      </c>
      <c r="C71" s="4" t="inlineStr">
        <is>
          <t>Joggebukse</t>
        </is>
      </c>
      <c r="D71" s="4" t="inlineStr"/>
      <c r="E71" s="4" t="inlineStr"/>
      <c r="F71" s="4" t="n">
        <v>279</v>
      </c>
      <c r="G71" s="4">
        <f>SUM(f70:f70)</f>
        <v/>
      </c>
      <c r="I71" s="4" t="inlineStr"/>
    </row>
    <row r="72">
      <c r="B72" s="4" t="inlineStr">
        <is>
          <t>Sindre Bjoreng</t>
        </is>
      </c>
      <c r="C72" s="4" t="inlineStr">
        <is>
          <t>Half-zip</t>
        </is>
      </c>
      <c r="D72" s="4" t="inlineStr">
        <is>
          <t>SINDRE BJORENG</t>
        </is>
      </c>
      <c r="E72" s="4" t="inlineStr"/>
      <c r="F72" s="4" t="n">
        <v>453</v>
      </c>
      <c r="G72" s="4">
        <f>SUM(f71:f72)</f>
        <v/>
      </c>
      <c r="I72" s="4" t="inlineStr"/>
    </row>
    <row r="73">
      <c r="C73" s="4" t="inlineStr">
        <is>
          <t>Shorts (herre)</t>
        </is>
      </c>
      <c r="D73" s="4" t="inlineStr"/>
      <c r="E73" s="4" t="inlineStr"/>
      <c r="F73" s="4" t="n">
        <v>188</v>
      </c>
      <c r="I73" s="4" t="inlineStr"/>
    </row>
    <row r="74">
      <c r="A74" s="3" t="inlineStr">
        <is>
          <t>D1</t>
        </is>
      </c>
      <c r="B74" s="5" t="inlineStr">
        <is>
          <t>Eira Aalefjær</t>
        </is>
      </c>
      <c r="C74" s="5" t="inlineStr">
        <is>
          <t>Oppvarmingsgenser</t>
        </is>
      </c>
      <c r="D74" s="5" t="inlineStr"/>
      <c r="E74" s="5" t="inlineStr"/>
      <c r="F74" s="5" t="n">
        <v>351</v>
      </c>
      <c r="G74" s="5">
        <f>SUM(f73:f73)</f>
        <v/>
      </c>
      <c r="H74" s="5">
        <f>SUM(g73:g82)</f>
        <v/>
      </c>
      <c r="I74" s="5" t="inlineStr"/>
    </row>
    <row r="75">
      <c r="B75" s="5" t="inlineStr">
        <is>
          <t>Evelina Dalisanskaite</t>
        </is>
      </c>
      <c r="C75" s="5" t="inlineStr">
        <is>
          <t>Hettejakke</t>
        </is>
      </c>
      <c r="D75" s="5" t="inlineStr">
        <is>
          <t>DALISANSKAITE</t>
        </is>
      </c>
      <c r="E75" s="5" t="n">
        <v>210</v>
      </c>
      <c r="F75" s="5" t="n">
        <v>243</v>
      </c>
      <c r="G75" s="5">
        <f>SUM(f74:f75)</f>
        <v/>
      </c>
      <c r="I75" s="5" t="inlineStr"/>
    </row>
    <row r="76">
      <c r="C76" s="5" t="inlineStr">
        <is>
          <t>Joggebukse</t>
        </is>
      </c>
      <c r="D76" s="5" t="inlineStr"/>
      <c r="E76" s="5" t="inlineStr"/>
      <c r="F76" s="5" t="n">
        <v>279</v>
      </c>
      <c r="I76" s="5" t="inlineStr"/>
    </row>
    <row r="77">
      <c r="B77" s="5" t="inlineStr">
        <is>
          <t xml:space="preserve">Julie Hoem Jonassen </t>
        </is>
      </c>
      <c r="C77" s="5" t="inlineStr">
        <is>
          <t>Oppvarmingsgenser</t>
        </is>
      </c>
      <c r="D77" s="5" t="inlineStr"/>
      <c r="E77" s="5" t="inlineStr"/>
      <c r="F77" s="5" t="n">
        <v>351</v>
      </c>
      <c r="G77" s="5">
        <f>SUM(f76:f76)</f>
        <v/>
      </c>
      <c r="I77" s="5" t="inlineStr"/>
    </row>
    <row r="78">
      <c r="B78" s="5" t="inlineStr">
        <is>
          <t>Kamilla Vik Linga</t>
        </is>
      </c>
      <c r="C78" s="5" t="inlineStr">
        <is>
          <t>Crewneck</t>
        </is>
      </c>
      <c r="D78" s="5" t="inlineStr">
        <is>
          <t>LINGA</t>
        </is>
      </c>
      <c r="E78" s="5" t="inlineStr"/>
      <c r="F78" s="5" t="n">
        <v>335</v>
      </c>
      <c r="G78" s="5">
        <f>SUM(f77:f78)</f>
        <v/>
      </c>
      <c r="I78" s="5" t="inlineStr"/>
    </row>
    <row r="79">
      <c r="C79" s="5" t="inlineStr">
        <is>
          <t>Oppvarmingsgenser</t>
        </is>
      </c>
      <c r="D79" s="5" t="inlineStr">
        <is>
          <t>LINGA</t>
        </is>
      </c>
      <c r="E79" s="5" t="inlineStr"/>
      <c r="F79" s="5" t="n">
        <v>412</v>
      </c>
      <c r="I79" s="5" t="inlineStr"/>
    </row>
    <row r="80">
      <c r="B80" s="5" t="inlineStr">
        <is>
          <t>Malin Snarheim Brynjelsen</t>
        </is>
      </c>
      <c r="C80" s="5" t="inlineStr">
        <is>
          <t>Oppvarmingsgenser</t>
        </is>
      </c>
      <c r="D80" s="5" t="inlineStr">
        <is>
          <t>MALIN</t>
        </is>
      </c>
      <c r="E80" s="5" t="inlineStr"/>
      <c r="F80" s="5" t="n">
        <v>412</v>
      </c>
      <c r="G80" s="5">
        <f>SUM(f79:f80)</f>
        <v/>
      </c>
      <c r="I80" s="5" t="inlineStr">
        <is>
          <t>damestørrelse</t>
        </is>
      </c>
    </row>
    <row r="81">
      <c r="C81" s="5" t="inlineStr">
        <is>
          <t>Oppvarmingsgenser</t>
        </is>
      </c>
      <c r="D81" s="5" t="inlineStr">
        <is>
          <t>MALIN</t>
        </is>
      </c>
      <c r="E81" s="5" t="inlineStr"/>
      <c r="F81" s="5" t="n">
        <v>412</v>
      </c>
      <c r="I81" s="5" t="inlineStr">
        <is>
          <t>damestørrelse</t>
        </is>
      </c>
    </row>
    <row r="82">
      <c r="B82" s="5" t="inlineStr">
        <is>
          <t>Thea Vagle</t>
        </is>
      </c>
      <c r="C82" s="5" t="inlineStr">
        <is>
          <t>Oppvarmingsgenser</t>
        </is>
      </c>
      <c r="D82" s="5" t="inlineStr">
        <is>
          <t>VAGLE</t>
        </is>
      </c>
      <c r="E82" s="5" t="inlineStr"/>
      <c r="F82" s="5" t="n">
        <v>412</v>
      </c>
      <c r="G82" s="5">
        <f>SUM(f81:f81)</f>
        <v/>
      </c>
      <c r="I82" s="5" t="inlineStr"/>
    </row>
    <row r="83">
      <c r="B83" s="5" t="inlineStr">
        <is>
          <t>Una Kennethsdatter Nordheim</t>
        </is>
      </c>
      <c r="C83" s="5" t="inlineStr">
        <is>
          <t>Oppvarmingsgenser</t>
        </is>
      </c>
      <c r="D83" s="5" t="inlineStr"/>
      <c r="E83" s="5" t="inlineStr"/>
      <c r="F83" s="5" t="n">
        <v>351</v>
      </c>
      <c r="G83" s="5">
        <f>SUM(f82:f82)</f>
        <v/>
      </c>
      <c r="I83" s="5" t="inlineStr"/>
    </row>
    <row r="84">
      <c r="A84" s="3" t="inlineStr">
        <is>
          <t>D2A</t>
        </is>
      </c>
      <c r="B84" s="4" t="inlineStr">
        <is>
          <t xml:space="preserve">Eva Thime Elseth </t>
        </is>
      </c>
      <c r="C84" s="4" t="inlineStr">
        <is>
          <t>Crewneck</t>
        </is>
      </c>
      <c r="D84" s="4" t="inlineStr">
        <is>
          <t>THIME</t>
        </is>
      </c>
      <c r="E84" s="4" t="inlineStr"/>
      <c r="F84" s="4" t="n">
        <v>335</v>
      </c>
      <c r="G84" s="4">
        <f>SUM(f83:f84)</f>
        <v/>
      </c>
      <c r="H84" s="4">
        <f>SUM(g83:g89)</f>
        <v/>
      </c>
      <c r="I84" s="4" t="inlineStr"/>
    </row>
    <row r="85">
      <c r="C85" s="4" t="inlineStr">
        <is>
          <t>Oppvarmingsgenser</t>
        </is>
      </c>
      <c r="D85" s="4" t="inlineStr">
        <is>
          <t>THIME</t>
        </is>
      </c>
      <c r="E85" s="4" t="inlineStr"/>
      <c r="F85" s="4" t="n">
        <v>412</v>
      </c>
      <c r="I85" s="4" t="inlineStr"/>
    </row>
    <row r="86">
      <c r="B86" s="4" t="inlineStr">
        <is>
          <t>Nora Kjenstadbakk</t>
        </is>
      </c>
      <c r="C86" s="4" t="inlineStr">
        <is>
          <t>Hettegenser</t>
        </is>
      </c>
      <c r="D86" s="4" t="inlineStr">
        <is>
          <t xml:space="preserve">KJENSTADBAKK </t>
        </is>
      </c>
      <c r="E86" s="4" t="inlineStr"/>
      <c r="F86" s="4" t="n">
        <v>367</v>
      </c>
      <c r="G86" s="4">
        <f>SUM(f85:f87)</f>
        <v/>
      </c>
      <c r="I86" s="4" t="inlineStr"/>
    </row>
    <row r="87">
      <c r="C87" s="4" t="inlineStr">
        <is>
          <t>Joggebukse</t>
        </is>
      </c>
      <c r="D87" s="4" t="inlineStr"/>
      <c r="E87" s="4" t="inlineStr"/>
      <c r="F87" s="4" t="n">
        <v>279</v>
      </c>
      <c r="I87" s="4" t="inlineStr"/>
    </row>
    <row r="88">
      <c r="C88" s="4" t="inlineStr">
        <is>
          <t>Oppvarmingsgenser</t>
        </is>
      </c>
      <c r="D88" s="4" t="inlineStr">
        <is>
          <t xml:space="preserve">KJENSTADBAKK </t>
        </is>
      </c>
      <c r="E88" s="4" t="inlineStr"/>
      <c r="F88" s="4" t="n">
        <v>412</v>
      </c>
      <c r="I88" s="4" t="inlineStr"/>
    </row>
    <row r="89">
      <c r="B89" s="4" t="inlineStr">
        <is>
          <t>Siri Aasgard</t>
        </is>
      </c>
      <c r="C89" s="4" t="inlineStr">
        <is>
          <t>Crewneck</t>
        </is>
      </c>
      <c r="D89" s="4" t="inlineStr">
        <is>
          <t>AASGARD</t>
        </is>
      </c>
      <c r="E89" s="4" t="inlineStr"/>
      <c r="F89" s="4" t="n">
        <v>335</v>
      </c>
      <c r="G89" s="4">
        <f>SUM(f88:f89)</f>
        <v/>
      </c>
      <c r="I89" s="4" t="inlineStr"/>
    </row>
    <row r="90">
      <c r="C90" s="4" t="inlineStr">
        <is>
          <t>Oppvarmingsgenser</t>
        </is>
      </c>
      <c r="D90" s="4" t="inlineStr">
        <is>
          <t>AASGARD</t>
        </is>
      </c>
      <c r="E90" s="4" t="inlineStr"/>
      <c r="F90" s="4" t="n">
        <v>412</v>
      </c>
      <c r="I90" s="4" t="inlineStr"/>
    </row>
    <row r="91">
      <c r="A91" s="3" t="inlineStr">
        <is>
          <t>D2B</t>
        </is>
      </c>
      <c r="B91" s="5" t="inlineStr">
        <is>
          <t>Signe Granås</t>
        </is>
      </c>
      <c r="C91" s="5" t="inlineStr">
        <is>
          <t>Knebeskytter (kort)</t>
        </is>
      </c>
      <c r="D91" s="5" t="inlineStr"/>
      <c r="E91" s="5" t="inlineStr"/>
      <c r="F91" s="5" t="n">
        <v>321</v>
      </c>
      <c r="G91" s="5">
        <f>SUM(f90:f90)</f>
        <v/>
      </c>
      <c r="H91" s="5">
        <f>SUM(g90:g90)</f>
        <v/>
      </c>
      <c r="I91" s="5" t="inlineStr"/>
    </row>
    <row r="92">
      <c r="A92" s="3" t="inlineStr">
        <is>
          <t>D2C</t>
        </is>
      </c>
      <c r="B92" s="4" t="inlineStr">
        <is>
          <t>Lise Skaar Smines</t>
        </is>
      </c>
      <c r="C92" s="4" t="inlineStr">
        <is>
          <t>Crewneck</t>
        </is>
      </c>
      <c r="D92" s="4" t="inlineStr">
        <is>
          <t>SKAAR SMINES</t>
        </is>
      </c>
      <c r="E92" s="4" t="inlineStr"/>
      <c r="F92" s="4" t="n">
        <v>335</v>
      </c>
      <c r="G92" s="4">
        <f>SUM(f91:f94)</f>
        <v/>
      </c>
      <c r="H92" s="4">
        <f>SUM(g91:g94)</f>
        <v/>
      </c>
      <c r="I92" s="4" t="inlineStr"/>
    </row>
    <row r="93">
      <c r="C93" s="4" t="inlineStr">
        <is>
          <t>Hettejakke</t>
        </is>
      </c>
      <c r="D93" s="4" t="inlineStr">
        <is>
          <t>SKAAR SMINES</t>
        </is>
      </c>
      <c r="E93" s="4" t="n">
        <v>0</v>
      </c>
      <c r="F93" s="4" t="n">
        <v>453</v>
      </c>
      <c r="I93" s="4" t="inlineStr"/>
    </row>
    <row r="94">
      <c r="C94" s="4" t="inlineStr">
        <is>
          <t>Oppvarmingsgenser</t>
        </is>
      </c>
      <c r="D94" s="4" t="inlineStr">
        <is>
          <t>SKAAR SMINES</t>
        </is>
      </c>
      <c r="E94" s="4" t="inlineStr"/>
      <c r="F94" s="4" t="n">
        <v>412</v>
      </c>
      <c r="I94" s="4" t="inlineStr"/>
    </row>
    <row r="95">
      <c r="C95" s="4" t="inlineStr">
        <is>
          <t>Tynn genser (bomull)</t>
        </is>
      </c>
      <c r="D95" s="4" t="inlineStr"/>
      <c r="E95" s="4" t="inlineStr"/>
      <c r="F95" s="4" t="n">
        <v>193</v>
      </c>
      <c r="I95" s="4" t="inlineStr"/>
    </row>
    <row r="96">
      <c r="A96" s="3" t="inlineStr">
        <is>
          <t>D3A</t>
        </is>
      </c>
      <c r="B96" s="5" t="inlineStr">
        <is>
          <t xml:space="preserve">Hannah Markhus </t>
        </is>
      </c>
      <c r="C96" s="5" t="inlineStr">
        <is>
          <t>Crewneck</t>
        </is>
      </c>
      <c r="D96" s="5" t="inlineStr">
        <is>
          <t>MARKHUS</t>
        </is>
      </c>
      <c r="E96" s="5" t="inlineStr"/>
      <c r="F96" s="5" t="n">
        <v>335</v>
      </c>
      <c r="G96" s="5">
        <f>SUM(f95:f95)</f>
        <v/>
      </c>
      <c r="H96" s="5">
        <f>SUM(g95:g95)</f>
        <v/>
      </c>
      <c r="I96" s="5" t="inlineStr"/>
    </row>
    <row r="97">
      <c r="A97" s="3" t="inlineStr">
        <is>
          <t>D3B</t>
        </is>
      </c>
      <c r="B97" s="4" t="inlineStr">
        <is>
          <t>Christel Berg</t>
        </is>
      </c>
      <c r="C97" s="4" t="inlineStr">
        <is>
          <t>Hettejakke</t>
        </is>
      </c>
      <c r="D97" s="4" t="inlineStr">
        <is>
          <t>BERG</t>
        </is>
      </c>
      <c r="E97" s="4" t="inlineStr"/>
      <c r="F97" s="4" t="n">
        <v>453</v>
      </c>
      <c r="G97" s="4">
        <f>SUM(f96:f96)</f>
        <v/>
      </c>
      <c r="H97" s="4">
        <f>SUM(g96:g98)</f>
        <v/>
      </c>
      <c r="I97" s="4" t="inlineStr"/>
    </row>
    <row r="98">
      <c r="B98" s="4" t="inlineStr">
        <is>
          <t>Lynn Ossege</t>
        </is>
      </c>
      <c r="C98" s="4" t="inlineStr">
        <is>
          <t>Half-zip</t>
        </is>
      </c>
      <c r="D98" s="4" t="inlineStr">
        <is>
          <t>OSSEGE</t>
        </is>
      </c>
      <c r="E98" s="4" t="inlineStr"/>
      <c r="F98" s="4" t="n">
        <v>453</v>
      </c>
      <c r="G98" s="4">
        <f>SUM(f97:f97)</f>
        <v/>
      </c>
      <c r="I98" s="4" t="inlineStr"/>
    </row>
    <row r="99">
      <c r="B99" s="4" t="inlineStr">
        <is>
          <t>Sofia Stenrød</t>
        </is>
      </c>
      <c r="C99" s="4" t="inlineStr">
        <is>
          <t>Oppvarmingsgenser</t>
        </is>
      </c>
      <c r="D99" s="4" t="inlineStr"/>
      <c r="E99" s="4" t="inlineStr"/>
      <c r="F99" s="4" t="n">
        <v>351</v>
      </c>
      <c r="G99" s="4">
        <f>SUM(f98:f98)</f>
        <v/>
      </c>
      <c r="I99" s="4" t="inlineStr"/>
    </row>
    <row r="100">
      <c r="A100" s="3" t="inlineStr">
        <is>
          <t>D3C</t>
        </is>
      </c>
      <c r="B100" s="5" t="inlineStr">
        <is>
          <t>Islam Qraiqe</t>
        </is>
      </c>
      <c r="C100" s="5" t="inlineStr">
        <is>
          <t>Knebeskytter (kort)</t>
        </is>
      </c>
      <c r="D100" s="5" t="inlineStr"/>
      <c r="E100" s="5" t="inlineStr"/>
      <c r="F100" s="5" t="n">
        <v>321</v>
      </c>
      <c r="G100" s="5">
        <f>SUM(f99:f101)</f>
        <v/>
      </c>
      <c r="H100" s="5">
        <f>SUM(g99:g103)</f>
        <v/>
      </c>
      <c r="I100" s="5" t="inlineStr"/>
    </row>
    <row r="101">
      <c r="C101" s="5" t="inlineStr">
        <is>
          <t>Shorts (dame)</t>
        </is>
      </c>
      <c r="D101" s="5" t="inlineStr"/>
      <c r="E101" s="5" t="inlineStr"/>
      <c r="F101" s="5" t="n">
        <v>259</v>
      </c>
      <c r="I101" s="5" t="inlineStr"/>
    </row>
    <row r="102">
      <c r="C102" s="5" t="inlineStr">
        <is>
          <t>Sleeves</t>
        </is>
      </c>
      <c r="D102" s="5" t="inlineStr"/>
      <c r="E102" s="5" t="inlineStr"/>
      <c r="F102" s="5" t="n">
        <v>179</v>
      </c>
      <c r="I102" s="5" t="inlineStr"/>
    </row>
    <row r="103">
      <c r="B103" s="5" t="inlineStr">
        <is>
          <t>Mari Nielsen Sollesnes</t>
        </is>
      </c>
      <c r="C103" s="5" t="inlineStr">
        <is>
          <t>Half-zip</t>
        </is>
      </c>
      <c r="D103" s="5" t="inlineStr"/>
      <c r="E103" s="5" t="inlineStr"/>
      <c r="F103" s="5" t="n">
        <v>422</v>
      </c>
      <c r="G103" s="5">
        <f>SUM(f102:f103)</f>
        <v/>
      </c>
      <c r="I103" s="5" t="inlineStr"/>
    </row>
    <row r="104">
      <c r="C104" s="5" t="inlineStr">
        <is>
          <t>Shorts (dame)</t>
        </is>
      </c>
      <c r="D104" s="5" t="inlineStr"/>
      <c r="E104" s="5" t="inlineStr"/>
      <c r="F104" s="5" t="n">
        <v>259</v>
      </c>
      <c r="I104" s="5" t="inlineStr"/>
    </row>
    <row r="105">
      <c r="A105" s="3" t="inlineStr">
        <is>
          <t>D-Bredde</t>
        </is>
      </c>
      <c r="B105" s="4" t="inlineStr">
        <is>
          <t>Ronja Anneke Gundersen</t>
        </is>
      </c>
      <c r="C105" s="4" t="inlineStr">
        <is>
          <t>Hettejakke</t>
        </is>
      </c>
      <c r="D105" s="4" t="inlineStr">
        <is>
          <t>GUNDERSEN</t>
        </is>
      </c>
      <c r="E105" s="4" t="inlineStr"/>
      <c r="F105" s="4" t="n">
        <v>453</v>
      </c>
      <c r="G105" s="4">
        <f>SUM(f104:f105)</f>
        <v/>
      </c>
      <c r="H105" s="4">
        <f>SUM(g104:g105)</f>
        <v/>
      </c>
      <c r="I105" s="4" t="inlineStr"/>
    </row>
    <row r="106">
      <c r="C106" s="4" t="inlineStr">
        <is>
          <t>Oppvarmingsgenser</t>
        </is>
      </c>
      <c r="D106" s="4" t="inlineStr">
        <is>
          <t>GUNDERSEN</t>
        </is>
      </c>
      <c r="E106" s="4" t="inlineStr"/>
      <c r="F106" s="4" t="n">
        <v>412</v>
      </c>
      <c r="I106" s="4" t="inlineStr"/>
    </row>
  </sheetData>
  <mergeCells count="114">
    <mergeCell ref="G54:G56"/>
    <mergeCell ref="G25:G34"/>
    <mergeCell ref="B3:B6"/>
    <mergeCell ref="B20"/>
    <mergeCell ref="A105:A106"/>
    <mergeCell ref="G7:G10"/>
    <mergeCell ref="H54:H63"/>
    <mergeCell ref="A45:A52"/>
    <mergeCell ref="B45:B47"/>
    <mergeCell ref="B67:B70"/>
    <mergeCell ref="B78:B79"/>
    <mergeCell ref="B100:B102"/>
    <mergeCell ref="H97:H99"/>
    <mergeCell ref="H67:H73"/>
    <mergeCell ref="B80:B81"/>
    <mergeCell ref="B96"/>
    <mergeCell ref="B103:B104"/>
    <mergeCell ref="H105:H106"/>
    <mergeCell ref="B12:B14"/>
    <mergeCell ref="G51:G52"/>
    <mergeCell ref="B98"/>
    <mergeCell ref="G35:G36"/>
    <mergeCell ref="G37"/>
    <mergeCell ref="G84:G85"/>
    <mergeCell ref="G83"/>
    <mergeCell ref="B82"/>
    <mergeCell ref="A92:A95"/>
    <mergeCell ref="B7:B10"/>
    <mergeCell ref="B41:B44"/>
    <mergeCell ref="H92:H95"/>
    <mergeCell ref="B35:B36"/>
    <mergeCell ref="G45:G47"/>
    <mergeCell ref="A25:A44"/>
    <mergeCell ref="B74"/>
    <mergeCell ref="B83"/>
    <mergeCell ref="G78:G79"/>
    <mergeCell ref="A3:A24"/>
    <mergeCell ref="A97:A99"/>
    <mergeCell ref="H53"/>
    <mergeCell ref="G96"/>
    <mergeCell ref="G103:G104"/>
    <mergeCell ref="H74:H83"/>
    <mergeCell ref="G71"/>
    <mergeCell ref="B84:B85"/>
    <mergeCell ref="G98"/>
    <mergeCell ref="G48:G50"/>
    <mergeCell ref="G82"/>
    <mergeCell ref="G89:G90"/>
    <mergeCell ref="B92:B95"/>
    <mergeCell ref="G38:G40"/>
    <mergeCell ref="H64:H66"/>
    <mergeCell ref="G41:G44"/>
    <mergeCell ref="G53"/>
    <mergeCell ref="B61:B63"/>
    <mergeCell ref="G75:G76"/>
    <mergeCell ref="B48:B50"/>
    <mergeCell ref="G74"/>
    <mergeCell ref="A1:I1"/>
    <mergeCell ref="H25:H44"/>
    <mergeCell ref="B38:B40"/>
    <mergeCell ref="G20"/>
    <mergeCell ref="G67:G70"/>
    <mergeCell ref="B105:B106"/>
    <mergeCell ref="B57:B58"/>
    <mergeCell ref="A100:A104"/>
    <mergeCell ref="G100:G102"/>
    <mergeCell ref="H91"/>
    <mergeCell ref="G3:G6"/>
    <mergeCell ref="B91"/>
    <mergeCell ref="A64:A66"/>
    <mergeCell ref="G80:G81"/>
    <mergeCell ref="A67:A73"/>
    <mergeCell ref="G12:G14"/>
    <mergeCell ref="G86:G88"/>
    <mergeCell ref="G61:G63"/>
    <mergeCell ref="G97"/>
    <mergeCell ref="B77"/>
    <mergeCell ref="B11"/>
    <mergeCell ref="H45:H52"/>
    <mergeCell ref="G72:G73"/>
    <mergeCell ref="B75:B76"/>
    <mergeCell ref="B86:B88"/>
    <mergeCell ref="B72:B73"/>
    <mergeCell ref="G105:G106"/>
    <mergeCell ref="G57:G58"/>
    <mergeCell ref="G64:G66"/>
    <mergeCell ref="H96"/>
    <mergeCell ref="H84:H90"/>
    <mergeCell ref="H100:H104"/>
    <mergeCell ref="B21:B24"/>
    <mergeCell ref="G91"/>
    <mergeCell ref="B15:B19"/>
    <mergeCell ref="G99"/>
    <mergeCell ref="B54:B56"/>
    <mergeCell ref="B97"/>
    <mergeCell ref="B25:B34"/>
    <mergeCell ref="B64:B66"/>
    <mergeCell ref="G77"/>
    <mergeCell ref="G11"/>
    <mergeCell ref="B71"/>
    <mergeCell ref="G92:G95"/>
    <mergeCell ref="H3:H24"/>
    <mergeCell ref="A54:A63"/>
    <mergeCell ref="B89:B90"/>
    <mergeCell ref="G59:G60"/>
    <mergeCell ref="A74:A83"/>
    <mergeCell ref="B51:B52"/>
    <mergeCell ref="A84:A90"/>
    <mergeCell ref="B53"/>
    <mergeCell ref="G21:G24"/>
    <mergeCell ref="B99"/>
    <mergeCell ref="B37"/>
    <mergeCell ref="B59:B60"/>
    <mergeCell ref="G15:G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Bestillingsskjema NTNUI Volleyball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Lag</t>
        </is>
      </c>
      <c r="B2" s="2" t="inlineStr">
        <is>
          <t>Navn</t>
        </is>
      </c>
      <c r="C2" s="2" t="inlineStr">
        <is>
          <t>Produkt</t>
        </is>
      </c>
      <c r="D2" s="2" t="inlineStr">
        <is>
          <t>Trykk?</t>
        </is>
      </c>
      <c r="E2" s="2" t="inlineStr">
        <is>
          <t>Trenerrabatt</t>
        </is>
      </c>
      <c r="F2" s="2" t="inlineStr">
        <is>
          <t>Kostnad enkelt produkt</t>
        </is>
      </c>
      <c r="G2" s="2" t="inlineStr">
        <is>
          <t>Kostnad enkelt personer</t>
        </is>
      </c>
      <c r="H2" s="2" t="inlineStr">
        <is>
          <t>Totalt per lag</t>
        </is>
      </c>
      <c r="I2" s="2" t="inlineStr">
        <is>
          <t>Kommmentar</t>
        </is>
      </c>
    </row>
    <row r="3">
      <c r="A3" s="3" t="inlineStr">
        <is>
          <t>H-ELITE</t>
        </is>
      </c>
      <c r="B3" s="4" t="inlineStr">
        <is>
          <t>Daniel Klopstad</t>
        </is>
      </c>
      <c r="C3" s="4" t="inlineStr">
        <is>
          <t>Oppvarmingsgenser</t>
        </is>
      </c>
      <c r="D3" s="4" t="inlineStr"/>
      <c r="E3" s="4" t="inlineStr"/>
      <c r="F3" s="4" t="n">
        <v>351</v>
      </c>
      <c r="G3" s="4">
        <f>SUM(f2:f5)</f>
        <v/>
      </c>
      <c r="H3" s="4">
        <f>SUM(g2:g23)</f>
        <v/>
      </c>
      <c r="I3" s="4" t="inlineStr"/>
    </row>
    <row r="4">
      <c r="A4" s="3" t="n"/>
      <c r="B4" s="4" t="n"/>
      <c r="C4" s="4" t="inlineStr">
        <is>
          <t>Shorts (herre)</t>
        </is>
      </c>
      <c r="D4" s="4" t="inlineStr"/>
      <c r="E4" s="4" t="inlineStr"/>
      <c r="F4" s="4" t="n">
        <v>188</v>
      </c>
      <c r="G4" s="4" t="n"/>
      <c r="H4" s="4" t="n"/>
      <c r="I4" s="4" t="inlineStr"/>
    </row>
    <row r="5">
      <c r="A5" s="3" t="n"/>
      <c r="B5" s="4" t="n"/>
      <c r="C5" s="4" t="inlineStr">
        <is>
          <t>Shorts (herre)</t>
        </is>
      </c>
      <c r="D5" s="4" t="inlineStr"/>
      <c r="E5" s="4" t="inlineStr"/>
      <c r="F5" s="4" t="n">
        <v>188</v>
      </c>
      <c r="G5" s="4" t="n"/>
      <c r="H5" s="4" t="n"/>
      <c r="I5" s="4" t="inlineStr"/>
    </row>
    <row r="6">
      <c r="A6" s="3" t="n"/>
      <c r="B6" s="4" t="n"/>
      <c r="C6" s="4" t="inlineStr">
        <is>
          <t>Shorts (herre)</t>
        </is>
      </c>
      <c r="D6" s="4" t="inlineStr"/>
      <c r="E6" s="4" t="inlineStr"/>
      <c r="F6" s="4" t="n">
        <v>188</v>
      </c>
      <c r="G6" s="4" t="n"/>
      <c r="H6" s="4" t="n"/>
      <c r="I6" s="4" t="inlineStr"/>
    </row>
    <row r="7">
      <c r="A7" s="3" t="n"/>
      <c r="B7" s="4" t="inlineStr">
        <is>
          <t>Frithjof Moe Slinning</t>
        </is>
      </c>
      <c r="C7" s="4" t="inlineStr">
        <is>
          <t>Bag (38L)</t>
        </is>
      </c>
      <c r="D7" s="4" t="inlineStr"/>
      <c r="E7" s="4" t="inlineStr"/>
      <c r="F7" s="4" t="n">
        <v>391</v>
      </c>
      <c r="G7" s="4">
        <f>SUM(f6:f9)</f>
        <v/>
      </c>
      <c r="H7" s="4" t="n"/>
      <c r="I7" s="4" t="inlineStr"/>
    </row>
    <row r="8">
      <c r="A8" s="3" t="n"/>
      <c r="B8" s="4" t="n"/>
      <c r="C8" s="4" t="inlineStr">
        <is>
          <t>Hettejakke</t>
        </is>
      </c>
      <c r="D8" s="4" t="inlineStr">
        <is>
          <t>SLINNING</t>
        </is>
      </c>
      <c r="E8" s="4" t="n">
        <v>210</v>
      </c>
      <c r="F8" s="4" t="n">
        <v>243</v>
      </c>
      <c r="G8" s="4" t="n"/>
      <c r="H8" s="4" t="n"/>
      <c r="I8" s="4" t="inlineStr"/>
    </row>
    <row r="9">
      <c r="A9" s="3" t="n"/>
      <c r="B9" s="4" t="n"/>
      <c r="C9" s="4" t="inlineStr">
        <is>
          <t>Shorts (herre)</t>
        </is>
      </c>
      <c r="D9" s="4" t="inlineStr"/>
      <c r="E9" s="4" t="inlineStr"/>
      <c r="F9" s="4" t="n">
        <v>188</v>
      </c>
      <c r="G9" s="4" t="n"/>
      <c r="H9" s="4" t="n"/>
      <c r="I9" s="4" t="inlineStr"/>
    </row>
    <row r="10">
      <c r="A10" s="3" t="n"/>
      <c r="B10" s="4" t="n"/>
      <c r="C10" s="4" t="inlineStr">
        <is>
          <t>Shorts (herre)</t>
        </is>
      </c>
      <c r="D10" s="4" t="inlineStr"/>
      <c r="E10" s="4" t="inlineStr"/>
      <c r="F10" s="4" t="n">
        <v>188</v>
      </c>
      <c r="G10" s="4" t="n"/>
      <c r="H10" s="4" t="n"/>
      <c r="I10" s="4" t="inlineStr"/>
    </row>
    <row r="11">
      <c r="A11" s="3" t="n"/>
      <c r="B11" s="4" t="inlineStr">
        <is>
          <t>Jonas Dormagen-Taraldsrud</t>
        </is>
      </c>
      <c r="C11" s="4" t="inlineStr">
        <is>
          <t>Shorts (herre)</t>
        </is>
      </c>
      <c r="D11" s="4" t="inlineStr"/>
      <c r="E11" s="4" t="inlineStr"/>
      <c r="F11" s="4" t="n">
        <v>188</v>
      </c>
      <c r="G11" s="4">
        <f>SUM(f10:f10)</f>
        <v/>
      </c>
      <c r="H11" s="4" t="n"/>
      <c r="I11" s="4" t="inlineStr"/>
    </row>
    <row r="12">
      <c r="A12" s="3" t="n"/>
      <c r="B12" s="4" t="inlineStr">
        <is>
          <t>Kjell Eike Machalowsky</t>
        </is>
      </c>
      <c r="C12" s="4" t="inlineStr">
        <is>
          <t>Hettegenser</t>
        </is>
      </c>
      <c r="D12" s="4" t="inlineStr">
        <is>
          <t>MACHALOWSKY</t>
        </is>
      </c>
      <c r="E12" s="4" t="inlineStr"/>
      <c r="F12" s="4" t="n">
        <v>367</v>
      </c>
      <c r="G12" s="4">
        <f>SUM(f11:f13)</f>
        <v/>
      </c>
      <c r="H12" s="4" t="n"/>
      <c r="I12" s="4" t="inlineStr"/>
    </row>
    <row r="13">
      <c r="A13" s="3" t="n"/>
      <c r="B13" s="4" t="n"/>
      <c r="C13" s="4" t="inlineStr">
        <is>
          <t>Shorts (herre)</t>
        </is>
      </c>
      <c r="D13" s="4" t="inlineStr"/>
      <c r="E13" s="4" t="inlineStr"/>
      <c r="F13" s="4" t="n">
        <v>188</v>
      </c>
      <c r="G13" s="4" t="n"/>
      <c r="H13" s="4" t="n"/>
      <c r="I13" s="4" t="inlineStr"/>
    </row>
    <row r="14">
      <c r="A14" s="3" t="n"/>
      <c r="B14" s="4" t="n"/>
      <c r="C14" s="4" t="inlineStr">
        <is>
          <t>Tynn genser (bomull)</t>
        </is>
      </c>
      <c r="D14" s="4" t="inlineStr"/>
      <c r="E14" s="4" t="inlineStr"/>
      <c r="F14" s="4" t="n">
        <v>193</v>
      </c>
      <c r="G14" s="4" t="n"/>
      <c r="H14" s="4" t="n"/>
      <c r="I14" s="4" t="inlineStr"/>
    </row>
    <row r="15">
      <c r="A15" s="3" t="n"/>
      <c r="B15" s="4" t="inlineStr">
        <is>
          <t>Ludvik Mathias Grasdal</t>
        </is>
      </c>
      <c r="C15" s="4" t="inlineStr">
        <is>
          <t>Bag (38L)</t>
        </is>
      </c>
      <c r="D15" s="4" t="inlineStr"/>
      <c r="E15" s="4" t="inlineStr"/>
      <c r="F15" s="4" t="n">
        <v>391</v>
      </c>
      <c r="G15" s="4">
        <f>SUM(f14:f18)</f>
        <v/>
      </c>
      <c r="H15" s="4" t="n"/>
      <c r="I15" s="4" t="inlineStr"/>
    </row>
    <row r="16">
      <c r="A16" s="3" t="n"/>
      <c r="B16" s="4" t="n"/>
      <c r="C16" s="4" t="inlineStr">
        <is>
          <t>Half-zip</t>
        </is>
      </c>
      <c r="D16" s="4" t="inlineStr">
        <is>
          <t>Grasdal</t>
        </is>
      </c>
      <c r="E16" s="4" t="inlineStr"/>
      <c r="F16" s="4" t="n">
        <v>453</v>
      </c>
      <c r="G16" s="4" t="n"/>
      <c r="H16" s="4" t="n"/>
      <c r="I16" s="4" t="inlineStr"/>
    </row>
    <row r="17">
      <c r="A17" s="3" t="n"/>
      <c r="B17" s="4" t="n"/>
      <c r="C17" s="4" t="inlineStr">
        <is>
          <t>Hettejakke</t>
        </is>
      </c>
      <c r="D17" s="4" t="inlineStr">
        <is>
          <t>COACH</t>
        </is>
      </c>
      <c r="E17" s="4" t="n">
        <v>0</v>
      </c>
      <c r="F17" s="4" t="n">
        <v>453</v>
      </c>
      <c r="G17" s="4" t="n"/>
      <c r="H17" s="4" t="n"/>
      <c r="I17" s="4" t="inlineStr">
        <is>
          <t>Ludvik Mathias Grasdal er ikke trener?</t>
        </is>
      </c>
    </row>
    <row r="18">
      <c r="A18" s="3" t="n"/>
      <c r="B18" s="4" t="n"/>
      <c r="C18" s="4" t="inlineStr">
        <is>
          <t>Shorts (herre)</t>
        </is>
      </c>
      <c r="D18" s="4" t="inlineStr"/>
      <c r="E18" s="4" t="inlineStr"/>
      <c r="F18" s="4" t="n">
        <v>188</v>
      </c>
      <c r="G18" s="4" t="n"/>
      <c r="H18" s="4" t="n"/>
      <c r="I18" s="4" t="inlineStr"/>
    </row>
    <row r="19">
      <c r="A19" s="3" t="n"/>
      <c r="B19" s="4" t="n"/>
      <c r="C19" s="4" t="inlineStr">
        <is>
          <t>Shorts (herre)</t>
        </is>
      </c>
      <c r="D19" s="4" t="inlineStr"/>
      <c r="E19" s="4" t="inlineStr"/>
      <c r="F19" s="4" t="n">
        <v>188</v>
      </c>
      <c r="G19" s="4" t="n"/>
      <c r="H19" s="4" t="n"/>
      <c r="I19" s="4" t="inlineStr"/>
    </row>
    <row r="20">
      <c r="A20" s="3" t="n"/>
      <c r="B20" s="4" t="inlineStr">
        <is>
          <t>Simon Klopstad</t>
        </is>
      </c>
      <c r="C20" s="4" t="inlineStr">
        <is>
          <t>Oppvarmingsgenser</t>
        </is>
      </c>
      <c r="D20" s="4" t="inlineStr">
        <is>
          <t>KLOPSTAD</t>
        </is>
      </c>
      <c r="E20" s="4" t="inlineStr"/>
      <c r="F20" s="4" t="n">
        <v>412</v>
      </c>
      <c r="G20" s="4">
        <f>SUM(f19:f19)</f>
        <v/>
      </c>
      <c r="H20" s="4" t="n"/>
      <c r="I20" s="4" t="inlineStr"/>
    </row>
    <row r="21">
      <c r="A21" s="3" t="n"/>
      <c r="B21" s="4" t="inlineStr">
        <is>
          <t>Weston Kirchman</t>
        </is>
      </c>
      <c r="C21" s="4" t="inlineStr">
        <is>
          <t>Crewneck</t>
        </is>
      </c>
      <c r="D21" s="4" t="inlineStr">
        <is>
          <t>KIRCHMAN</t>
        </is>
      </c>
      <c r="E21" s="4" t="inlineStr"/>
      <c r="F21" s="4" t="n">
        <v>335</v>
      </c>
      <c r="G21" s="4">
        <f>SUM(f20:f23)</f>
        <v/>
      </c>
      <c r="H21" s="4" t="n"/>
      <c r="I21" s="4" t="inlineStr"/>
    </row>
    <row r="22">
      <c r="A22" s="3" t="n"/>
      <c r="B22" s="4" t="n"/>
      <c r="C22" s="4" t="inlineStr">
        <is>
          <t>Shorts (herre)</t>
        </is>
      </c>
      <c r="D22" s="4" t="inlineStr"/>
      <c r="E22" s="4" t="inlineStr"/>
      <c r="F22" s="4" t="n">
        <v>188</v>
      </c>
      <c r="G22" s="4" t="n"/>
      <c r="H22" s="4" t="n"/>
      <c r="I22" s="4" t="inlineStr"/>
    </row>
    <row r="23">
      <c r="A23" s="3" t="n"/>
      <c r="B23" s="4" t="n"/>
      <c r="C23" s="4" t="inlineStr">
        <is>
          <t>Shorts (herre)</t>
        </is>
      </c>
      <c r="D23" s="4" t="inlineStr"/>
      <c r="E23" s="4" t="inlineStr"/>
      <c r="F23" s="4" t="n">
        <v>188</v>
      </c>
      <c r="G23" s="4" t="n"/>
      <c r="H23" s="4" t="n"/>
      <c r="I23" s="4" t="inlineStr"/>
    </row>
    <row r="24">
      <c r="A24" s="3" t="n"/>
      <c r="B24" s="4" t="n"/>
      <c r="C24" s="4" t="inlineStr">
        <is>
          <t>Tynn genser (bomull)</t>
        </is>
      </c>
      <c r="D24" s="4" t="inlineStr"/>
      <c r="E24" s="4" t="inlineStr"/>
      <c r="F24" s="4" t="n">
        <v>193</v>
      </c>
      <c r="G24" s="4" t="n"/>
      <c r="H24" s="4" t="n"/>
      <c r="I24" s="4" t="inlineStr"/>
    </row>
    <row r="25">
      <c r="A25" s="3" t="inlineStr">
        <is>
          <t>H1</t>
        </is>
      </c>
      <c r="B25" s="5" t="inlineStr">
        <is>
          <t>Ask Barø Lerfald</t>
        </is>
      </c>
      <c r="C25" s="5" t="inlineStr">
        <is>
          <t>Half-zip</t>
        </is>
      </c>
      <c r="D25" s="5" t="inlineStr">
        <is>
          <t>BARØ</t>
        </is>
      </c>
      <c r="E25" s="5" t="inlineStr"/>
      <c r="F25" s="5" t="n">
        <v>453</v>
      </c>
      <c r="G25" s="5">
        <f>SUM(f24:f33)</f>
        <v/>
      </c>
      <c r="H25" s="5">
        <f>SUM(g24:g43)</f>
        <v/>
      </c>
      <c r="I25" s="5" t="inlineStr"/>
    </row>
    <row r="26">
      <c r="A26" s="3" t="n"/>
      <c r="B26" s="5" t="n"/>
      <c r="C26" s="5" t="inlineStr">
        <is>
          <t>Hettejakke</t>
        </is>
      </c>
      <c r="D26" s="5" t="inlineStr">
        <is>
          <t>BARØ</t>
        </is>
      </c>
      <c r="E26" s="5" t="inlineStr"/>
      <c r="F26" s="5" t="n">
        <v>453</v>
      </c>
      <c r="G26" s="5" t="n"/>
      <c r="H26" s="5" t="n"/>
      <c r="I26" s="5" t="inlineStr"/>
    </row>
    <row r="27">
      <c r="A27" s="3" t="n"/>
      <c r="B27" s="5" t="n"/>
      <c r="C27" s="5" t="inlineStr">
        <is>
          <t>Joggebukse</t>
        </is>
      </c>
      <c r="D27" s="5" t="inlineStr"/>
      <c r="E27" s="5" t="inlineStr"/>
      <c r="F27" s="5" t="n">
        <v>279</v>
      </c>
      <c r="G27" s="5" t="n"/>
      <c r="H27" s="5" t="n"/>
      <c r="I27" s="5" t="inlineStr"/>
    </row>
    <row r="28">
      <c r="A28" s="3" t="n"/>
      <c r="B28" s="5" t="n"/>
      <c r="C28" s="5" t="inlineStr">
        <is>
          <t>Joggebukse</t>
        </is>
      </c>
      <c r="D28" s="5" t="inlineStr"/>
      <c r="E28" s="5" t="inlineStr"/>
      <c r="F28" s="5" t="n">
        <v>279</v>
      </c>
      <c r="G28" s="5" t="n"/>
      <c r="H28" s="5" t="n"/>
      <c r="I28" s="5" t="inlineStr"/>
    </row>
    <row r="29">
      <c r="A29" s="3" t="n"/>
      <c r="B29" s="5" t="n"/>
      <c r="C29" s="5" t="inlineStr">
        <is>
          <t>Joggebukse</t>
        </is>
      </c>
      <c r="D29" s="5" t="inlineStr"/>
      <c r="E29" s="5" t="inlineStr"/>
      <c r="F29" s="5" t="n">
        <v>279</v>
      </c>
      <c r="G29" s="5" t="n"/>
      <c r="H29" s="5" t="n"/>
      <c r="I29" s="5" t="inlineStr"/>
    </row>
    <row r="30">
      <c r="A30" s="3" t="n"/>
      <c r="B30" s="5" t="n"/>
      <c r="C30" s="5" t="inlineStr">
        <is>
          <t>Oppvarmingsgenser</t>
        </is>
      </c>
      <c r="D30" s="5" t="inlineStr">
        <is>
          <t>BARØ</t>
        </is>
      </c>
      <c r="E30" s="5" t="inlineStr"/>
      <c r="F30" s="5" t="n">
        <v>412</v>
      </c>
      <c r="G30" s="5" t="n"/>
      <c r="H30" s="5" t="n"/>
      <c r="I30" s="5" t="inlineStr"/>
    </row>
    <row r="31">
      <c r="A31" s="3" t="n"/>
      <c r="B31" s="5" t="n"/>
      <c r="C31" s="5" t="inlineStr">
        <is>
          <t>Oppvarmingsgenser</t>
        </is>
      </c>
      <c r="D31" s="5" t="inlineStr">
        <is>
          <t>BARØ</t>
        </is>
      </c>
      <c r="E31" s="5" t="inlineStr"/>
      <c r="F31" s="5" t="n">
        <v>412</v>
      </c>
      <c r="G31" s="5" t="n"/>
      <c r="H31" s="5" t="n"/>
      <c r="I31" s="5" t="inlineStr"/>
    </row>
    <row r="32">
      <c r="A32" s="3" t="n"/>
      <c r="B32" s="5" t="n"/>
      <c r="C32" s="5" t="inlineStr">
        <is>
          <t>Oppvarmingsgenser</t>
        </is>
      </c>
      <c r="D32" s="5" t="inlineStr">
        <is>
          <t>BARØ</t>
        </is>
      </c>
      <c r="E32" s="5" t="inlineStr"/>
      <c r="F32" s="5" t="n">
        <v>412</v>
      </c>
      <c r="G32" s="5" t="n"/>
      <c r="H32" s="5" t="n"/>
      <c r="I32" s="5" t="inlineStr"/>
    </row>
    <row r="33">
      <c r="A33" s="3" t="n"/>
      <c r="B33" s="5" t="n"/>
      <c r="C33" s="5" t="inlineStr">
        <is>
          <t>Shorts (herre)</t>
        </is>
      </c>
      <c r="D33" s="5" t="inlineStr"/>
      <c r="E33" s="5" t="inlineStr"/>
      <c r="F33" s="5" t="n">
        <v>188</v>
      </c>
      <c r="G33" s="5" t="n"/>
      <c r="H33" s="5" t="n"/>
      <c r="I33" s="5" t="inlineStr"/>
    </row>
    <row r="34">
      <c r="A34" s="3" t="n"/>
      <c r="B34" s="5" t="n"/>
      <c r="C34" s="5" t="inlineStr">
        <is>
          <t>Shorts (herre)</t>
        </is>
      </c>
      <c r="D34" s="5" t="inlineStr"/>
      <c r="E34" s="5" t="inlineStr"/>
      <c r="F34" s="5" t="n">
        <v>188</v>
      </c>
      <c r="G34" s="5" t="n"/>
      <c r="H34" s="5" t="n"/>
      <c r="I34" s="5" t="inlineStr"/>
    </row>
    <row r="35">
      <c r="A35" s="3" t="n"/>
      <c r="B35" s="5" t="inlineStr">
        <is>
          <t>Chrisander lykke</t>
        </is>
      </c>
      <c r="C35" s="5" t="inlineStr">
        <is>
          <t>Shorts (herre)</t>
        </is>
      </c>
      <c r="D35" s="5" t="inlineStr"/>
      <c r="E35" s="5" t="inlineStr"/>
      <c r="F35" s="5" t="n">
        <v>188</v>
      </c>
      <c r="G35" s="5">
        <f>SUM(f34:f35)</f>
        <v/>
      </c>
      <c r="H35" s="5" t="n"/>
      <c r="I35" s="5" t="inlineStr"/>
    </row>
    <row r="36">
      <c r="A36" s="3" t="n"/>
      <c r="B36" s="5" t="n"/>
      <c r="C36" s="5" t="inlineStr">
        <is>
          <t>Shorts (herre)</t>
        </is>
      </c>
      <c r="D36" s="5" t="inlineStr"/>
      <c r="E36" s="5" t="inlineStr"/>
      <c r="F36" s="5" t="n">
        <v>188</v>
      </c>
      <c r="G36" s="5" t="n"/>
      <c r="H36" s="5" t="n"/>
      <c r="I36" s="5" t="inlineStr"/>
    </row>
    <row r="37">
      <c r="A37" s="3" t="n"/>
      <c r="B37" s="5" t="inlineStr">
        <is>
          <t>Markus Wallstad Hamansen</t>
        </is>
      </c>
      <c r="C37" s="5" t="inlineStr">
        <is>
          <t>Shorts (herre)</t>
        </is>
      </c>
      <c r="D37" s="5" t="inlineStr"/>
      <c r="E37" s="5" t="inlineStr"/>
      <c r="F37" s="5" t="n">
        <v>188</v>
      </c>
      <c r="G37" s="5">
        <f>SUM(f36:f36)</f>
        <v/>
      </c>
      <c r="H37" s="5" t="n"/>
      <c r="I37" s="5" t="inlineStr"/>
    </row>
    <row r="38">
      <c r="A38" s="3" t="n"/>
      <c r="B38" s="5" t="inlineStr">
        <is>
          <t>Mats Børja Berg</t>
        </is>
      </c>
      <c r="C38" s="5" t="inlineStr">
        <is>
          <t>Hettejakke</t>
        </is>
      </c>
      <c r="D38" s="5" t="inlineStr">
        <is>
          <t>BØRJA</t>
        </is>
      </c>
      <c r="E38" s="5" t="n">
        <v>0</v>
      </c>
      <c r="F38" s="5" t="n">
        <v>453</v>
      </c>
      <c r="G38" s="5">
        <f>SUM(f37:f39)</f>
        <v/>
      </c>
      <c r="H38" s="5" t="n"/>
      <c r="I38" s="5" t="inlineStr">
        <is>
          <t>Mats Børja Berg er ikke trener?</t>
        </is>
      </c>
    </row>
    <row r="39">
      <c r="A39" s="3" t="n"/>
      <c r="B39" s="5" t="n"/>
      <c r="C39" s="5" t="inlineStr">
        <is>
          <t>Joggebukse</t>
        </is>
      </c>
      <c r="D39" s="5" t="inlineStr"/>
      <c r="E39" s="5" t="inlineStr"/>
      <c r="F39" s="5" t="n">
        <v>279</v>
      </c>
      <c r="G39" s="5" t="n"/>
      <c r="H39" s="5" t="n"/>
      <c r="I39" s="5" t="inlineStr"/>
    </row>
    <row r="40">
      <c r="A40" s="3" t="n"/>
      <c r="B40" s="5" t="n"/>
      <c r="C40" s="5" t="inlineStr">
        <is>
          <t>Shorts (herre)</t>
        </is>
      </c>
      <c r="D40" s="5" t="inlineStr"/>
      <c r="E40" s="5" t="inlineStr"/>
      <c r="F40" s="5" t="n">
        <v>188</v>
      </c>
      <c r="G40" s="5" t="n"/>
      <c r="H40" s="5" t="n"/>
      <c r="I40" s="5" t="inlineStr"/>
    </row>
    <row r="41">
      <c r="A41" s="3" t="n"/>
      <c r="B41" s="5" t="inlineStr">
        <is>
          <t>Vetle Tobias Lannem</t>
        </is>
      </c>
      <c r="C41" s="5" t="inlineStr">
        <is>
          <t>Joggebukse</t>
        </is>
      </c>
      <c r="D41" s="5" t="inlineStr"/>
      <c r="E41" s="5" t="inlineStr"/>
      <c r="F41" s="5" t="n">
        <v>279</v>
      </c>
      <c r="G41" s="5">
        <f>SUM(f40:f43)</f>
        <v/>
      </c>
      <c r="H41" s="5" t="n"/>
      <c r="I41" s="5" t="inlineStr"/>
    </row>
    <row r="42">
      <c r="A42" s="3" t="n"/>
      <c r="B42" s="5" t="n"/>
      <c r="C42" s="5" t="inlineStr">
        <is>
          <t>Oppvarmingsgenser</t>
        </is>
      </c>
      <c r="D42" s="5" t="inlineStr">
        <is>
          <t>LANNEM</t>
        </is>
      </c>
      <c r="E42" s="5" t="inlineStr"/>
      <c r="F42" s="5" t="n">
        <v>412</v>
      </c>
      <c r="G42" s="5" t="n"/>
      <c r="H42" s="5" t="n"/>
      <c r="I42" s="5" t="inlineStr">
        <is>
          <t>PRINT P Å DENNEEE OGSÅ</t>
        </is>
      </c>
    </row>
    <row r="43">
      <c r="A43" s="3" t="n"/>
      <c r="B43" s="5" t="n"/>
      <c r="C43" s="5" t="inlineStr">
        <is>
          <t>Shorts (herre)</t>
        </is>
      </c>
      <c r="D43" s="5" t="inlineStr"/>
      <c r="E43" s="5" t="inlineStr"/>
      <c r="F43" s="5" t="n">
        <v>188</v>
      </c>
      <c r="G43" s="5" t="n"/>
      <c r="H43" s="5" t="n"/>
      <c r="I43" s="5" t="inlineStr"/>
    </row>
    <row r="44">
      <c r="A44" s="3" t="n"/>
      <c r="B44" s="5" t="n"/>
      <c r="C44" s="5" t="inlineStr">
        <is>
          <t>Shorts (herre)</t>
        </is>
      </c>
      <c r="D44" s="5" t="inlineStr"/>
      <c r="E44" s="5" t="inlineStr"/>
      <c r="F44" s="5" t="n">
        <v>188</v>
      </c>
      <c r="G44" s="5" t="n"/>
      <c r="H44" s="5" t="n"/>
      <c r="I44" s="5" t="inlineStr"/>
    </row>
    <row r="45">
      <c r="A45" s="3" t="inlineStr">
        <is>
          <t>H2C</t>
        </is>
      </c>
      <c r="B45" s="4" t="inlineStr">
        <is>
          <t>Alejandro Bautista Diaz</t>
        </is>
      </c>
      <c r="C45" s="4" t="inlineStr">
        <is>
          <t>Half-zip</t>
        </is>
      </c>
      <c r="D45" s="4" t="inlineStr"/>
      <c r="E45" s="4" t="inlineStr"/>
      <c r="F45" s="4" t="n">
        <v>422</v>
      </c>
      <c r="G45" s="4">
        <f>SUM(f44:f46)</f>
        <v/>
      </c>
      <c r="H45" s="4">
        <f>SUM(g44:g51)</f>
        <v/>
      </c>
      <c r="I45" s="4" t="inlineStr"/>
    </row>
    <row r="46">
      <c r="A46" s="3" t="n"/>
      <c r="B46" s="4" t="n"/>
      <c r="C46" s="4" t="inlineStr">
        <is>
          <t>Shorts (herre)</t>
        </is>
      </c>
      <c r="D46" s="4" t="inlineStr"/>
      <c r="E46" s="4" t="inlineStr"/>
      <c r="F46" s="4" t="n">
        <v>188</v>
      </c>
      <c r="G46" s="4" t="n"/>
      <c r="H46" s="4" t="n"/>
      <c r="I46" s="4" t="inlineStr"/>
    </row>
    <row r="47">
      <c r="A47" s="3" t="n"/>
      <c r="B47" s="4" t="n"/>
      <c r="C47" s="4" t="inlineStr">
        <is>
          <t>Shorts (herre)</t>
        </is>
      </c>
      <c r="D47" s="4" t="inlineStr"/>
      <c r="E47" s="4" t="inlineStr"/>
      <c r="F47" s="4" t="n">
        <v>188</v>
      </c>
      <c r="G47" s="4" t="n"/>
      <c r="H47" s="4" t="n"/>
      <c r="I47" s="4" t="inlineStr"/>
    </row>
    <row r="48">
      <c r="A48" s="3" t="n"/>
      <c r="B48" s="4" t="inlineStr">
        <is>
          <t>Andreas Bruun Paulsen</t>
        </is>
      </c>
      <c r="C48" s="4" t="inlineStr">
        <is>
          <t>Half-zip</t>
        </is>
      </c>
      <c r="D48" s="4" t="inlineStr">
        <is>
          <t>PAULSEN</t>
        </is>
      </c>
      <c r="E48" s="4" t="inlineStr"/>
      <c r="F48" s="4" t="n">
        <v>453</v>
      </c>
      <c r="G48" s="4">
        <f>SUM(f47:f49)</f>
        <v/>
      </c>
      <c r="H48" s="4" t="n"/>
      <c r="I48" s="4" t="inlineStr"/>
    </row>
    <row r="49">
      <c r="A49" s="3" t="n"/>
      <c r="B49" s="4" t="n"/>
      <c r="C49" s="4" t="inlineStr">
        <is>
          <t>Kompresjonsgenser</t>
        </is>
      </c>
      <c r="D49" s="4" t="inlineStr"/>
      <c r="E49" s="4" t="inlineStr"/>
      <c r="F49" s="4" t="n">
        <v>356</v>
      </c>
      <c r="G49" s="4" t="n"/>
      <c r="H49" s="4" t="n"/>
      <c r="I49" s="4" t="inlineStr"/>
    </row>
    <row r="50">
      <c r="A50" s="3" t="n"/>
      <c r="B50" s="4" t="n"/>
      <c r="C50" s="4" t="inlineStr">
        <is>
          <t>Shorts (herre)</t>
        </is>
      </c>
      <c r="D50" s="4" t="inlineStr"/>
      <c r="E50" s="4" t="inlineStr"/>
      <c r="F50" s="4" t="n">
        <v>188</v>
      </c>
      <c r="G50" s="4" t="n"/>
      <c r="H50" s="4" t="n"/>
      <c r="I50" s="4" t="inlineStr"/>
    </row>
    <row r="51">
      <c r="A51" s="3" t="n"/>
      <c r="B51" s="4" t="inlineStr">
        <is>
          <t>Fredrik Ånensen Balas</t>
        </is>
      </c>
      <c r="C51" s="4" t="inlineStr">
        <is>
          <t>Half-zip</t>
        </is>
      </c>
      <c r="D51" s="4" t="inlineStr"/>
      <c r="E51" s="4" t="inlineStr"/>
      <c r="F51" s="4" t="n">
        <v>422</v>
      </c>
      <c r="G51" s="4">
        <f>SUM(f50:f51)</f>
        <v/>
      </c>
      <c r="H51" s="4" t="n"/>
      <c r="I51" s="4" t="inlineStr"/>
    </row>
    <row r="52">
      <c r="A52" s="3" t="n"/>
      <c r="B52" s="4" t="n"/>
      <c r="C52" s="4" t="inlineStr">
        <is>
          <t>Shorts (herre)</t>
        </is>
      </c>
      <c r="D52" s="4" t="inlineStr"/>
      <c r="E52" s="4" t="inlineStr"/>
      <c r="F52" s="4" t="n">
        <v>188</v>
      </c>
      <c r="G52" s="4" t="n"/>
      <c r="H52" s="4" t="n"/>
      <c r="I52" s="4" t="inlineStr"/>
    </row>
    <row r="53">
      <c r="A53" s="3" t="inlineStr">
        <is>
          <t>H3A</t>
        </is>
      </c>
      <c r="B53" s="5" t="inlineStr">
        <is>
          <t xml:space="preserve">Erlend Szontheimer </t>
        </is>
      </c>
      <c r="C53" s="5" t="inlineStr">
        <is>
          <t>Oppvarmingsgenser</t>
        </is>
      </c>
      <c r="D53" s="5" t="inlineStr">
        <is>
          <t>SZONTHEIMER</t>
        </is>
      </c>
      <c r="E53" s="5" t="inlineStr"/>
      <c r="F53" s="5" t="n">
        <v>412</v>
      </c>
      <c r="G53" s="5">
        <f>SUM(f52:f52)</f>
        <v/>
      </c>
      <c r="H53" s="5">
        <f>SUM(g52:g52)</f>
        <v/>
      </c>
      <c r="I53" s="5" t="inlineStr">
        <is>
          <t>Vil bruke trenerrabatten på denne</t>
        </is>
      </c>
    </row>
    <row r="54">
      <c r="A54" s="3" t="inlineStr">
        <is>
          <t>H3B</t>
        </is>
      </c>
      <c r="B54" s="4" t="inlineStr">
        <is>
          <t>Edvard Hjertvik Aasen</t>
        </is>
      </c>
      <c r="C54" s="4" t="inlineStr">
        <is>
          <t>Half-zip</t>
        </is>
      </c>
      <c r="D54" s="4" t="inlineStr">
        <is>
          <t>HJERTVIK AASEN</t>
        </is>
      </c>
      <c r="E54" s="4" t="inlineStr"/>
      <c r="F54" s="4" t="n">
        <v>453</v>
      </c>
      <c r="G54" s="4">
        <f>SUM(f53:f55)</f>
        <v/>
      </c>
      <c r="H54" s="4">
        <f>SUM(g53:g62)</f>
        <v/>
      </c>
      <c r="I54" s="4" t="inlineStr"/>
    </row>
    <row r="55">
      <c r="A55" s="3" t="n"/>
      <c r="B55" s="4" t="n"/>
      <c r="C55" s="4" t="inlineStr">
        <is>
          <t>Shorts (herre)</t>
        </is>
      </c>
      <c r="D55" s="4" t="inlineStr"/>
      <c r="E55" s="4" t="inlineStr"/>
      <c r="F55" s="4" t="n">
        <v>188</v>
      </c>
      <c r="G55" s="4" t="n"/>
      <c r="H55" s="4" t="n"/>
      <c r="I55" s="4" t="inlineStr"/>
    </row>
    <row r="56">
      <c r="A56" s="3" t="n"/>
      <c r="B56" s="4" t="n"/>
      <c r="C56" s="4" t="inlineStr">
        <is>
          <t>Shorts (herre)</t>
        </is>
      </c>
      <c r="D56" s="4" t="inlineStr"/>
      <c r="E56" s="4" t="inlineStr"/>
      <c r="F56" s="4" t="n">
        <v>188</v>
      </c>
      <c r="G56" s="4" t="n"/>
      <c r="H56" s="4" t="n"/>
      <c r="I56" s="4" t="inlineStr"/>
    </row>
    <row r="57">
      <c r="A57" s="3" t="n"/>
      <c r="B57" s="4" t="inlineStr">
        <is>
          <t>Omran Wahidi</t>
        </is>
      </c>
      <c r="C57" s="4" t="inlineStr">
        <is>
          <t>Half-zip</t>
        </is>
      </c>
      <c r="D57" s="4" t="inlineStr">
        <is>
          <t>WAHIDI</t>
        </is>
      </c>
      <c r="E57" s="4" t="inlineStr"/>
      <c r="F57" s="4" t="n">
        <v>453</v>
      </c>
      <c r="G57" s="4">
        <f>SUM(f56:f57)</f>
        <v/>
      </c>
      <c r="H57" s="4" t="n"/>
      <c r="I57" s="4" t="inlineStr"/>
    </row>
    <row r="58">
      <c r="A58" s="3" t="n"/>
      <c r="B58" s="4" t="n"/>
      <c r="C58" s="4" t="inlineStr">
        <is>
          <t>Shorts (herre)</t>
        </is>
      </c>
      <c r="D58" s="4" t="inlineStr"/>
      <c r="E58" s="4" t="inlineStr"/>
      <c r="F58" s="4" t="n">
        <v>188</v>
      </c>
      <c r="G58" s="4" t="n"/>
      <c r="H58" s="4" t="n"/>
      <c r="I58" s="4" t="inlineStr"/>
    </row>
    <row r="59">
      <c r="A59" s="3" t="n"/>
      <c r="B59" s="4" t="inlineStr">
        <is>
          <t>Snorre Indergaard Drønnen</t>
        </is>
      </c>
      <c r="C59" s="4" t="inlineStr">
        <is>
          <t>Hettegenser</t>
        </is>
      </c>
      <c r="D59" s="4" t="inlineStr">
        <is>
          <t>KORTKONGEN</t>
        </is>
      </c>
      <c r="E59" s="4" t="inlineStr"/>
      <c r="F59" s="4" t="n">
        <v>367</v>
      </c>
      <c r="G59" s="4">
        <f>SUM(f58:f59)</f>
        <v/>
      </c>
      <c r="H59" s="4" t="n"/>
      <c r="I59" s="4" t="inlineStr"/>
    </row>
    <row r="60">
      <c r="A60" s="3" t="n"/>
      <c r="B60" s="4" t="n"/>
      <c r="C60" s="4" t="inlineStr">
        <is>
          <t>Joggebukse</t>
        </is>
      </c>
      <c r="D60" s="4" t="inlineStr"/>
      <c r="E60" s="4" t="inlineStr"/>
      <c r="F60" s="4" t="n">
        <v>279</v>
      </c>
      <c r="G60" s="4" t="n"/>
      <c r="H60" s="4" t="n"/>
      <c r="I60" s="4" t="inlineStr"/>
    </row>
    <row r="61">
      <c r="A61" s="3" t="n"/>
      <c r="B61" s="4" t="inlineStr">
        <is>
          <t xml:space="preserve">Sune Röse </t>
        </is>
      </c>
      <c r="C61" s="4" t="inlineStr">
        <is>
          <t>Half-zip</t>
        </is>
      </c>
      <c r="D61" s="4" t="inlineStr">
        <is>
          <t>RÖSE</t>
        </is>
      </c>
      <c r="E61" s="4" t="inlineStr"/>
      <c r="F61" s="4" t="n">
        <v>453</v>
      </c>
      <c r="G61" s="4">
        <f>SUM(f60:f62)</f>
        <v/>
      </c>
      <c r="H61" s="4" t="n"/>
      <c r="I61" s="4" t="inlineStr"/>
    </row>
    <row r="62">
      <c r="A62" s="3" t="n"/>
      <c r="B62" s="4" t="n"/>
      <c r="C62" s="4" t="inlineStr">
        <is>
          <t>Sleeves</t>
        </is>
      </c>
      <c r="D62" s="4" t="inlineStr"/>
      <c r="E62" s="4" t="inlineStr"/>
      <c r="F62" s="4" t="n">
        <v>179</v>
      </c>
      <c r="G62" s="4" t="n"/>
      <c r="H62" s="4" t="n"/>
      <c r="I62" s="4" t="inlineStr"/>
    </row>
    <row r="63">
      <c r="A63" s="3" t="n"/>
      <c r="B63" s="4" t="n"/>
      <c r="C63" s="4" t="inlineStr">
        <is>
          <t>Sleeves</t>
        </is>
      </c>
      <c r="D63" s="4" t="inlineStr"/>
      <c r="E63" s="4" t="inlineStr"/>
      <c r="F63" s="4" t="n">
        <v>179</v>
      </c>
      <c r="G63" s="4" t="n"/>
      <c r="H63" s="4" t="n"/>
      <c r="I63" s="4" t="inlineStr"/>
    </row>
    <row r="64">
      <c r="A64" s="3" t="inlineStr">
        <is>
          <t>H4A</t>
        </is>
      </c>
      <c r="B64" s="5" t="inlineStr">
        <is>
          <t>Henrikke Søvik Lyngdal</t>
        </is>
      </c>
      <c r="C64" s="5" t="inlineStr">
        <is>
          <t>Crewneck</t>
        </is>
      </c>
      <c r="D64" s="5" t="inlineStr">
        <is>
          <t>LYNGDAL</t>
        </is>
      </c>
      <c r="E64" s="5" t="inlineStr"/>
      <c r="F64" s="5" t="n">
        <v>335</v>
      </c>
      <c r="G64" s="5">
        <f>SUM(f63:f65)</f>
        <v/>
      </c>
      <c r="H64" s="5">
        <f>SUM(g63:g65)</f>
        <v/>
      </c>
      <c r="I64" s="5" t="inlineStr"/>
    </row>
    <row r="65">
      <c r="A65" s="3" t="n"/>
      <c r="B65" s="5" t="n"/>
      <c r="C65" s="5" t="inlineStr">
        <is>
          <t>Joggebukse</t>
        </is>
      </c>
      <c r="D65" s="5" t="inlineStr"/>
      <c r="E65" s="5" t="inlineStr"/>
      <c r="F65" s="5" t="n">
        <v>279</v>
      </c>
      <c r="G65" s="5" t="n"/>
      <c r="H65" s="5" t="n"/>
      <c r="I65" s="5" t="inlineStr"/>
    </row>
    <row r="66">
      <c r="A66" s="3" t="n"/>
      <c r="B66" s="5" t="n"/>
      <c r="C66" s="5" t="inlineStr">
        <is>
          <t>Oppvarmingsgenser</t>
        </is>
      </c>
      <c r="D66" s="5" t="inlineStr">
        <is>
          <t>LYNGDAL</t>
        </is>
      </c>
      <c r="E66" s="5" t="inlineStr"/>
      <c r="F66" s="5" t="n">
        <v>412</v>
      </c>
      <c r="G66" s="5" t="n"/>
      <c r="H66" s="5" t="n"/>
      <c r="I66" s="5" t="inlineStr"/>
    </row>
    <row r="67">
      <c r="A67" s="3" t="inlineStr">
        <is>
          <t>H4B</t>
        </is>
      </c>
      <c r="B67" s="4" t="inlineStr">
        <is>
          <t>Aleksander Hille</t>
        </is>
      </c>
      <c r="C67" s="4" t="inlineStr">
        <is>
          <t>Crewneck</t>
        </is>
      </c>
      <c r="D67" s="4" t="inlineStr">
        <is>
          <t>HILLE</t>
        </is>
      </c>
      <c r="E67" s="4" t="inlineStr"/>
      <c r="F67" s="4" t="n">
        <v>335</v>
      </c>
      <c r="G67" s="4">
        <f>SUM(f66:f69)</f>
        <v/>
      </c>
      <c r="H67" s="4">
        <f>SUM(g66:g72)</f>
        <v/>
      </c>
      <c r="I67" s="4" t="inlineStr"/>
    </row>
    <row r="68">
      <c r="A68" s="3" t="n"/>
      <c r="B68" s="4" t="n"/>
      <c r="C68" s="4" t="inlineStr">
        <is>
          <t>Half-zip</t>
        </is>
      </c>
      <c r="D68" s="4" t="inlineStr">
        <is>
          <t>HILLE</t>
        </is>
      </c>
      <c r="E68" s="4" t="inlineStr"/>
      <c r="F68" s="4" t="n">
        <v>453</v>
      </c>
      <c r="G68" s="4" t="n"/>
      <c r="H68" s="4" t="n"/>
      <c r="I68" s="4" t="inlineStr"/>
    </row>
    <row r="69">
      <c r="A69" s="3" t="n"/>
      <c r="B69" s="4" t="n"/>
      <c r="C69" s="4" t="inlineStr">
        <is>
          <t>Joggebukse</t>
        </is>
      </c>
      <c r="D69" s="4" t="inlineStr"/>
      <c r="E69" s="4" t="inlineStr"/>
      <c r="F69" s="4" t="n">
        <v>279</v>
      </c>
      <c r="G69" s="4" t="n"/>
      <c r="H69" s="4" t="n"/>
      <c r="I69" s="4" t="inlineStr"/>
    </row>
    <row r="70">
      <c r="A70" s="3" t="n"/>
      <c r="B70" s="4" t="n"/>
      <c r="C70" s="4" t="inlineStr">
        <is>
          <t>Shorts (herre)</t>
        </is>
      </c>
      <c r="D70" s="4" t="inlineStr"/>
      <c r="E70" s="4" t="inlineStr"/>
      <c r="F70" s="4" t="n">
        <v>188</v>
      </c>
      <c r="G70" s="4" t="n"/>
      <c r="H70" s="4" t="n"/>
      <c r="I70" s="4" t="inlineStr"/>
    </row>
    <row r="71">
      <c r="A71" s="3" t="n"/>
      <c r="B71" s="4" t="inlineStr">
        <is>
          <t>Kenneth Olstad Johnsen</t>
        </is>
      </c>
      <c r="C71" s="4" t="inlineStr">
        <is>
          <t>Joggebukse</t>
        </is>
      </c>
      <c r="D71" s="4" t="inlineStr"/>
      <c r="E71" s="4" t="inlineStr"/>
      <c r="F71" s="4" t="n">
        <v>279</v>
      </c>
      <c r="G71" s="4">
        <f>SUM(f70:f70)</f>
        <v/>
      </c>
      <c r="H71" s="4" t="n"/>
      <c r="I71" s="4" t="inlineStr"/>
    </row>
    <row r="72">
      <c r="A72" s="3" t="n"/>
      <c r="B72" s="4" t="inlineStr">
        <is>
          <t>Sindre Bjoreng</t>
        </is>
      </c>
      <c r="C72" s="4" t="inlineStr">
        <is>
          <t>Half-zip</t>
        </is>
      </c>
      <c r="D72" s="4" t="inlineStr">
        <is>
          <t>SINDRE BJORENG</t>
        </is>
      </c>
      <c r="E72" s="4" t="inlineStr"/>
      <c r="F72" s="4" t="n">
        <v>453</v>
      </c>
      <c r="G72" s="4">
        <f>SUM(f71:f72)</f>
        <v/>
      </c>
      <c r="H72" s="4" t="n"/>
      <c r="I72" s="4" t="inlineStr"/>
    </row>
    <row r="73">
      <c r="A73" s="3" t="n"/>
      <c r="B73" s="4" t="n"/>
      <c r="C73" s="4" t="inlineStr">
        <is>
          <t>Shorts (herre)</t>
        </is>
      </c>
      <c r="D73" s="4" t="inlineStr"/>
      <c r="E73" s="4" t="inlineStr"/>
      <c r="F73" s="4" t="n">
        <v>188</v>
      </c>
      <c r="G73" s="4" t="n"/>
      <c r="H73" s="4" t="n"/>
      <c r="I73" s="4" t="inlineStr"/>
    </row>
    <row r="74">
      <c r="A74" s="3" t="inlineStr">
        <is>
          <t>D1</t>
        </is>
      </c>
      <c r="B74" s="5" t="inlineStr">
        <is>
          <t>Eira Aalefjær</t>
        </is>
      </c>
      <c r="C74" s="5" t="inlineStr">
        <is>
          <t>Oppvarmingsgenser</t>
        </is>
      </c>
      <c r="D74" s="5" t="inlineStr"/>
      <c r="E74" s="5" t="inlineStr"/>
      <c r="F74" s="5" t="n">
        <v>351</v>
      </c>
      <c r="G74" s="5">
        <f>SUM(f73:f73)</f>
        <v/>
      </c>
      <c r="H74" s="5">
        <f>SUM(g73:g82)</f>
        <v/>
      </c>
      <c r="I74" s="5" t="inlineStr"/>
    </row>
    <row r="75">
      <c r="A75" s="3" t="n"/>
      <c r="B75" s="5" t="inlineStr">
        <is>
          <t>Evelina Dalisanskaite</t>
        </is>
      </c>
      <c r="C75" s="5" t="inlineStr">
        <is>
          <t>Hettejakke</t>
        </is>
      </c>
      <c r="D75" s="5" t="inlineStr">
        <is>
          <t>DALISANSKAITE</t>
        </is>
      </c>
      <c r="E75" s="5" t="n">
        <v>210</v>
      </c>
      <c r="F75" s="5" t="n">
        <v>243</v>
      </c>
      <c r="G75" s="5">
        <f>SUM(f74:f75)</f>
        <v/>
      </c>
      <c r="H75" s="5" t="n"/>
      <c r="I75" s="5" t="inlineStr"/>
    </row>
    <row r="76">
      <c r="A76" s="3" t="n"/>
      <c r="B76" s="5" t="n"/>
      <c r="C76" s="5" t="inlineStr">
        <is>
          <t>Joggebukse</t>
        </is>
      </c>
      <c r="D76" s="5" t="inlineStr"/>
      <c r="E76" s="5" t="inlineStr"/>
      <c r="F76" s="5" t="n">
        <v>279</v>
      </c>
      <c r="G76" s="5" t="n"/>
      <c r="H76" s="5" t="n"/>
      <c r="I76" s="5" t="inlineStr"/>
    </row>
    <row r="77">
      <c r="A77" s="3" t="n"/>
      <c r="B77" s="5" t="inlineStr">
        <is>
          <t xml:space="preserve">Julie Hoem Jonassen </t>
        </is>
      </c>
      <c r="C77" s="5" t="inlineStr">
        <is>
          <t>Oppvarmingsgenser</t>
        </is>
      </c>
      <c r="D77" s="5" t="inlineStr"/>
      <c r="E77" s="5" t="inlineStr"/>
      <c r="F77" s="5" t="n">
        <v>351</v>
      </c>
      <c r="G77" s="5">
        <f>SUM(f76:f76)</f>
        <v/>
      </c>
      <c r="H77" s="5" t="n"/>
      <c r="I77" s="5" t="inlineStr"/>
    </row>
    <row r="78">
      <c r="A78" s="3" t="n"/>
      <c r="B78" s="5" t="inlineStr">
        <is>
          <t>Kamilla Vik Linga</t>
        </is>
      </c>
      <c r="C78" s="5" t="inlineStr">
        <is>
          <t>Crewneck</t>
        </is>
      </c>
      <c r="D78" s="5" t="inlineStr">
        <is>
          <t>LINGA</t>
        </is>
      </c>
      <c r="E78" s="5" t="inlineStr"/>
      <c r="F78" s="5" t="n">
        <v>335</v>
      </c>
      <c r="G78" s="5">
        <f>SUM(f77:f78)</f>
        <v/>
      </c>
      <c r="H78" s="5" t="n"/>
      <c r="I78" s="5" t="inlineStr"/>
    </row>
    <row r="79">
      <c r="A79" s="3" t="n"/>
      <c r="B79" s="5" t="n"/>
      <c r="C79" s="5" t="inlineStr">
        <is>
          <t>Oppvarmingsgenser</t>
        </is>
      </c>
      <c r="D79" s="5" t="inlineStr">
        <is>
          <t>LINGA</t>
        </is>
      </c>
      <c r="E79" s="5" t="inlineStr"/>
      <c r="F79" s="5" t="n">
        <v>412</v>
      </c>
      <c r="G79" s="5" t="n"/>
      <c r="H79" s="5" t="n"/>
      <c r="I79" s="5" t="inlineStr"/>
    </row>
    <row r="80">
      <c r="A80" s="3" t="n"/>
      <c r="B80" s="5" t="inlineStr">
        <is>
          <t>Malin Snarheim Brynjelsen</t>
        </is>
      </c>
      <c r="C80" s="5" t="inlineStr">
        <is>
          <t>Oppvarmingsgenser</t>
        </is>
      </c>
      <c r="D80" s="5" t="inlineStr">
        <is>
          <t>MALIN</t>
        </is>
      </c>
      <c r="E80" s="5" t="inlineStr"/>
      <c r="F80" s="5" t="n">
        <v>412</v>
      </c>
      <c r="G80" s="5">
        <f>SUM(f79:f80)</f>
        <v/>
      </c>
      <c r="H80" s="5" t="n"/>
      <c r="I80" s="5" t="inlineStr">
        <is>
          <t>damestørrelse</t>
        </is>
      </c>
    </row>
    <row r="81">
      <c r="A81" s="3" t="n"/>
      <c r="B81" s="5" t="n"/>
      <c r="C81" s="5" t="inlineStr">
        <is>
          <t>Oppvarmingsgenser</t>
        </is>
      </c>
      <c r="D81" s="5" t="inlineStr">
        <is>
          <t>MALIN</t>
        </is>
      </c>
      <c r="E81" s="5" t="inlineStr"/>
      <c r="F81" s="5" t="n">
        <v>412</v>
      </c>
      <c r="G81" s="5" t="n"/>
      <c r="H81" s="5" t="n"/>
      <c r="I81" s="5" t="inlineStr">
        <is>
          <t>damestørrelse</t>
        </is>
      </c>
    </row>
    <row r="82">
      <c r="A82" s="3" t="n"/>
      <c r="B82" s="5" t="inlineStr">
        <is>
          <t>Thea Vagle</t>
        </is>
      </c>
      <c r="C82" s="5" t="inlineStr">
        <is>
          <t>Oppvarmingsgenser</t>
        </is>
      </c>
      <c r="D82" s="5" t="inlineStr">
        <is>
          <t>VAGLE</t>
        </is>
      </c>
      <c r="E82" s="5" t="inlineStr"/>
      <c r="F82" s="5" t="n">
        <v>412</v>
      </c>
      <c r="G82" s="5">
        <f>SUM(f81:f81)</f>
        <v/>
      </c>
      <c r="H82" s="5" t="n"/>
      <c r="I82" s="5" t="inlineStr"/>
    </row>
    <row r="83">
      <c r="A83" s="3" t="n"/>
      <c r="B83" s="5" t="inlineStr">
        <is>
          <t>Una Kennethsdatter Nordheim</t>
        </is>
      </c>
      <c r="C83" s="5" t="inlineStr">
        <is>
          <t>Oppvarmingsgenser</t>
        </is>
      </c>
      <c r="D83" s="5" t="inlineStr"/>
      <c r="E83" s="5" t="inlineStr"/>
      <c r="F83" s="5" t="n">
        <v>351</v>
      </c>
      <c r="G83" s="5">
        <f>SUM(f82:f82)</f>
        <v/>
      </c>
      <c r="H83" s="5" t="n"/>
      <c r="I83" s="5" t="inlineStr"/>
    </row>
    <row r="84">
      <c r="A84" s="3" t="inlineStr">
        <is>
          <t>D2A</t>
        </is>
      </c>
      <c r="B84" s="4" t="inlineStr">
        <is>
          <t xml:space="preserve">Eva Thime Elseth </t>
        </is>
      </c>
      <c r="C84" s="4" t="inlineStr">
        <is>
          <t>Crewneck</t>
        </is>
      </c>
      <c r="D84" s="4" t="inlineStr">
        <is>
          <t>THIME</t>
        </is>
      </c>
      <c r="E84" s="4" t="inlineStr"/>
      <c r="F84" s="4" t="n">
        <v>335</v>
      </c>
      <c r="G84" s="4">
        <f>SUM(f83:f84)</f>
        <v/>
      </c>
      <c r="H84" s="4">
        <f>SUM(g83:g89)</f>
        <v/>
      </c>
      <c r="I84" s="4" t="inlineStr"/>
    </row>
    <row r="85">
      <c r="A85" s="3" t="n"/>
      <c r="B85" s="4" t="n"/>
      <c r="C85" s="4" t="inlineStr">
        <is>
          <t>Oppvarmingsgenser</t>
        </is>
      </c>
      <c r="D85" s="4" t="inlineStr">
        <is>
          <t>THIME</t>
        </is>
      </c>
      <c r="E85" s="4" t="inlineStr"/>
      <c r="F85" s="4" t="n">
        <v>412</v>
      </c>
      <c r="G85" s="4" t="n"/>
      <c r="H85" s="4" t="n"/>
      <c r="I85" s="4" t="inlineStr"/>
    </row>
    <row r="86">
      <c r="A86" s="3" t="n"/>
      <c r="B86" s="4" t="inlineStr">
        <is>
          <t>Nora Kjenstadbakk</t>
        </is>
      </c>
      <c r="C86" s="4" t="inlineStr">
        <is>
          <t>Hettegenser</t>
        </is>
      </c>
      <c r="D86" s="4" t="inlineStr">
        <is>
          <t xml:space="preserve">KJENSTADBAKK </t>
        </is>
      </c>
      <c r="E86" s="4" t="inlineStr"/>
      <c r="F86" s="4" t="n">
        <v>367</v>
      </c>
      <c r="G86" s="4">
        <f>SUM(f85:f87)</f>
        <v/>
      </c>
      <c r="H86" s="4" t="n"/>
      <c r="I86" s="4" t="inlineStr"/>
    </row>
    <row r="87">
      <c r="A87" s="3" t="n"/>
      <c r="B87" s="4" t="n"/>
      <c r="C87" s="4" t="inlineStr">
        <is>
          <t>Joggebukse</t>
        </is>
      </c>
      <c r="D87" s="4" t="inlineStr"/>
      <c r="E87" s="4" t="inlineStr"/>
      <c r="F87" s="4" t="n">
        <v>279</v>
      </c>
      <c r="G87" s="4" t="n"/>
      <c r="H87" s="4" t="n"/>
      <c r="I87" s="4" t="inlineStr"/>
    </row>
    <row r="88">
      <c r="A88" s="3" t="n"/>
      <c r="B88" s="4" t="n"/>
      <c r="C88" s="4" t="inlineStr">
        <is>
          <t>Oppvarmingsgenser</t>
        </is>
      </c>
      <c r="D88" s="4" t="inlineStr">
        <is>
          <t xml:space="preserve">KJENSTADBAKK </t>
        </is>
      </c>
      <c r="E88" s="4" t="inlineStr"/>
      <c r="F88" s="4" t="n">
        <v>412</v>
      </c>
      <c r="G88" s="4" t="n"/>
      <c r="H88" s="4" t="n"/>
      <c r="I88" s="4" t="inlineStr"/>
    </row>
    <row r="89">
      <c r="A89" s="3" t="n"/>
      <c r="B89" s="4" t="inlineStr">
        <is>
          <t>Siri Aasgard</t>
        </is>
      </c>
      <c r="C89" s="4" t="inlineStr">
        <is>
          <t>Crewneck</t>
        </is>
      </c>
      <c r="D89" s="4" t="inlineStr">
        <is>
          <t>AASGARD</t>
        </is>
      </c>
      <c r="E89" s="4" t="inlineStr"/>
      <c r="F89" s="4" t="n">
        <v>335</v>
      </c>
      <c r="G89" s="4">
        <f>SUM(f88:f89)</f>
        <v/>
      </c>
      <c r="H89" s="4" t="n"/>
      <c r="I89" s="4" t="inlineStr"/>
    </row>
    <row r="90">
      <c r="A90" s="3" t="n"/>
      <c r="B90" s="4" t="n"/>
      <c r="C90" s="4" t="inlineStr">
        <is>
          <t>Oppvarmingsgenser</t>
        </is>
      </c>
      <c r="D90" s="4" t="inlineStr">
        <is>
          <t>AASGARD</t>
        </is>
      </c>
      <c r="E90" s="4" t="inlineStr"/>
      <c r="F90" s="4" t="n">
        <v>412</v>
      </c>
      <c r="G90" s="4" t="n"/>
      <c r="H90" s="4" t="n"/>
      <c r="I90" s="4" t="inlineStr"/>
    </row>
    <row r="91">
      <c r="A91" s="3" t="inlineStr">
        <is>
          <t>D2B</t>
        </is>
      </c>
      <c r="B91" s="5" t="inlineStr">
        <is>
          <t>Signe Granås</t>
        </is>
      </c>
      <c r="C91" s="5" t="inlineStr">
        <is>
          <t>Knebeskytter (kort)</t>
        </is>
      </c>
      <c r="D91" s="5" t="inlineStr"/>
      <c r="E91" s="5" t="inlineStr"/>
      <c r="F91" s="5" t="n">
        <v>321</v>
      </c>
      <c r="G91" s="5">
        <f>SUM(f90:f90)</f>
        <v/>
      </c>
      <c r="H91" s="5">
        <f>SUM(g90:g90)</f>
        <v/>
      </c>
      <c r="I91" s="5" t="inlineStr"/>
    </row>
    <row r="92">
      <c r="A92" s="3" t="inlineStr">
        <is>
          <t>D2C</t>
        </is>
      </c>
      <c r="B92" s="4" t="inlineStr">
        <is>
          <t>Lise Skaar Smines</t>
        </is>
      </c>
      <c r="C92" s="4" t="inlineStr">
        <is>
          <t>Crewneck</t>
        </is>
      </c>
      <c r="D92" s="4" t="inlineStr">
        <is>
          <t>SKAAR SMINES</t>
        </is>
      </c>
      <c r="E92" s="4" t="inlineStr"/>
      <c r="F92" s="4" t="n">
        <v>335</v>
      </c>
      <c r="G92" s="4">
        <f>SUM(f91:f94)</f>
        <v/>
      </c>
      <c r="H92" s="4">
        <f>SUM(g91:g94)</f>
        <v/>
      </c>
      <c r="I92" s="4" t="inlineStr"/>
    </row>
    <row r="93">
      <c r="A93" s="3" t="n"/>
      <c r="B93" s="4" t="n"/>
      <c r="C93" s="4" t="inlineStr">
        <is>
          <t>Hettejakke</t>
        </is>
      </c>
      <c r="D93" s="4" t="inlineStr">
        <is>
          <t>SKAAR SMINES</t>
        </is>
      </c>
      <c r="E93" s="4" t="n">
        <v>0</v>
      </c>
      <c r="F93" s="4" t="n">
        <v>453</v>
      </c>
      <c r="G93" s="4" t="n"/>
      <c r="H93" s="4" t="n"/>
      <c r="I93" s="4" t="inlineStr"/>
    </row>
    <row r="94">
      <c r="A94" s="3" t="n"/>
      <c r="B94" s="4" t="n"/>
      <c r="C94" s="4" t="inlineStr">
        <is>
          <t>Oppvarmingsgenser</t>
        </is>
      </c>
      <c r="D94" s="4" t="inlineStr">
        <is>
          <t>SKAAR SMINES</t>
        </is>
      </c>
      <c r="E94" s="4" t="inlineStr"/>
      <c r="F94" s="4" t="n">
        <v>412</v>
      </c>
      <c r="G94" s="4" t="n"/>
      <c r="H94" s="4" t="n"/>
      <c r="I94" s="4" t="inlineStr"/>
    </row>
    <row r="95">
      <c r="A95" s="3" t="n"/>
      <c r="B95" s="4" t="n"/>
      <c r="C95" s="4" t="inlineStr">
        <is>
          <t>Tynn genser (bomull)</t>
        </is>
      </c>
      <c r="D95" s="4" t="inlineStr"/>
      <c r="E95" s="4" t="inlineStr"/>
      <c r="F95" s="4" t="n">
        <v>193</v>
      </c>
      <c r="G95" s="4" t="n"/>
      <c r="H95" s="4" t="n"/>
      <c r="I95" s="4" t="inlineStr"/>
    </row>
    <row r="96">
      <c r="A96" s="3" t="inlineStr">
        <is>
          <t>D3A</t>
        </is>
      </c>
      <c r="B96" s="5" t="inlineStr">
        <is>
          <t xml:space="preserve">Hannah Markhus </t>
        </is>
      </c>
      <c r="C96" s="5" t="inlineStr">
        <is>
          <t>Crewneck</t>
        </is>
      </c>
      <c r="D96" s="5" t="inlineStr">
        <is>
          <t>MARKHUS</t>
        </is>
      </c>
      <c r="E96" s="5" t="inlineStr"/>
      <c r="F96" s="5" t="n">
        <v>335</v>
      </c>
      <c r="G96" s="5">
        <f>SUM(f95:f95)</f>
        <v/>
      </c>
      <c r="H96" s="5">
        <f>SUM(g95:g95)</f>
        <v/>
      </c>
      <c r="I96" s="5" t="inlineStr"/>
    </row>
    <row r="97">
      <c r="A97" s="3" t="inlineStr">
        <is>
          <t>D3B</t>
        </is>
      </c>
      <c r="B97" s="4" t="inlineStr">
        <is>
          <t>Christel Berg</t>
        </is>
      </c>
      <c r="C97" s="4" t="inlineStr">
        <is>
          <t>Hettejakke</t>
        </is>
      </c>
      <c r="D97" s="4" t="inlineStr">
        <is>
          <t>BERG</t>
        </is>
      </c>
      <c r="E97" s="4" t="inlineStr"/>
      <c r="F97" s="4" t="n">
        <v>453</v>
      </c>
      <c r="G97" s="4">
        <f>SUM(f96:f96)</f>
        <v/>
      </c>
      <c r="H97" s="4">
        <f>SUM(g96:g98)</f>
        <v/>
      </c>
      <c r="I97" s="4" t="inlineStr"/>
    </row>
    <row r="98">
      <c r="A98" s="3" t="n"/>
      <c r="B98" s="4" t="inlineStr">
        <is>
          <t>Lynn Ossege</t>
        </is>
      </c>
      <c r="C98" s="4" t="inlineStr">
        <is>
          <t>Half-zip</t>
        </is>
      </c>
      <c r="D98" s="4" t="inlineStr">
        <is>
          <t>OSSEGE</t>
        </is>
      </c>
      <c r="E98" s="4" t="inlineStr"/>
      <c r="F98" s="4" t="n">
        <v>453</v>
      </c>
      <c r="G98" s="4">
        <f>SUM(f97:f97)</f>
        <v/>
      </c>
      <c r="H98" s="4" t="n"/>
      <c r="I98" s="4" t="inlineStr"/>
    </row>
    <row r="99">
      <c r="A99" s="3" t="n"/>
      <c r="B99" s="4" t="inlineStr">
        <is>
          <t>Sofia Stenrød</t>
        </is>
      </c>
      <c r="C99" s="4" t="inlineStr">
        <is>
          <t>Oppvarmingsgenser</t>
        </is>
      </c>
      <c r="D99" s="4" t="inlineStr"/>
      <c r="E99" s="4" t="inlineStr"/>
      <c r="F99" s="4" t="n">
        <v>351</v>
      </c>
      <c r="G99" s="4">
        <f>SUM(f98:f98)</f>
        <v/>
      </c>
      <c r="H99" s="4" t="n"/>
      <c r="I99" s="4" t="inlineStr"/>
    </row>
    <row r="100">
      <c r="A100" s="3" t="inlineStr">
        <is>
          <t>D3C</t>
        </is>
      </c>
      <c r="B100" s="5" t="inlineStr">
        <is>
          <t>Islam Qraiqe</t>
        </is>
      </c>
      <c r="C100" s="5" t="inlineStr">
        <is>
          <t>Knebeskytter (kort)</t>
        </is>
      </c>
      <c r="D100" s="5" t="inlineStr"/>
      <c r="E100" s="5" t="inlineStr"/>
      <c r="F100" s="5" t="n">
        <v>321</v>
      </c>
      <c r="G100" s="5">
        <f>SUM(f99:f101)</f>
        <v/>
      </c>
      <c r="H100" s="5">
        <f>SUM(g99:g103)</f>
        <v/>
      </c>
      <c r="I100" s="5" t="inlineStr"/>
    </row>
    <row r="101">
      <c r="A101" s="3" t="n"/>
      <c r="B101" s="5" t="n"/>
      <c r="C101" s="5" t="inlineStr">
        <is>
          <t>Shorts (dame)</t>
        </is>
      </c>
      <c r="D101" s="5" t="inlineStr"/>
      <c r="E101" s="5" t="inlineStr"/>
      <c r="F101" s="5" t="n">
        <v>259</v>
      </c>
      <c r="G101" s="5" t="n"/>
      <c r="H101" s="5" t="n"/>
      <c r="I101" s="5" t="inlineStr"/>
    </row>
    <row r="102">
      <c r="A102" s="3" t="n"/>
      <c r="B102" s="5" t="n"/>
      <c r="C102" s="5" t="inlineStr">
        <is>
          <t>Sleeves</t>
        </is>
      </c>
      <c r="D102" s="5" t="inlineStr"/>
      <c r="E102" s="5" t="inlineStr"/>
      <c r="F102" s="5" t="n">
        <v>179</v>
      </c>
      <c r="G102" s="5" t="n"/>
      <c r="H102" s="5" t="n"/>
      <c r="I102" s="5" t="inlineStr"/>
    </row>
    <row r="103">
      <c r="A103" s="3" t="n"/>
      <c r="B103" s="5" t="inlineStr">
        <is>
          <t>Mari Nielsen Sollesnes</t>
        </is>
      </c>
      <c r="C103" s="5" t="inlineStr">
        <is>
          <t>Half-zip</t>
        </is>
      </c>
      <c r="D103" s="5" t="inlineStr"/>
      <c r="E103" s="5" t="inlineStr"/>
      <c r="F103" s="5" t="n">
        <v>422</v>
      </c>
      <c r="G103" s="5">
        <f>SUM(f102:f103)</f>
        <v/>
      </c>
      <c r="H103" s="5" t="n"/>
      <c r="I103" s="5" t="inlineStr"/>
    </row>
    <row r="104">
      <c r="A104" s="3" t="n"/>
      <c r="B104" s="5" t="n"/>
      <c r="C104" s="5" t="inlineStr">
        <is>
          <t>Shorts (dame)</t>
        </is>
      </c>
      <c r="D104" s="5" t="inlineStr"/>
      <c r="E104" s="5" t="inlineStr"/>
      <c r="F104" s="5" t="n">
        <v>259</v>
      </c>
      <c r="G104" s="5" t="n"/>
      <c r="H104" s="5" t="n"/>
      <c r="I104" s="5" t="inlineStr"/>
    </row>
    <row r="105">
      <c r="A105" s="3" t="inlineStr">
        <is>
          <t>D-Bredde</t>
        </is>
      </c>
      <c r="B105" s="4" t="inlineStr">
        <is>
          <t>Ronja Anneke Gundersen</t>
        </is>
      </c>
      <c r="C105" s="4" t="inlineStr">
        <is>
          <t>Hettejakke</t>
        </is>
      </c>
      <c r="D105" s="4" t="inlineStr">
        <is>
          <t>GUNDERSEN</t>
        </is>
      </c>
      <c r="E105" s="4" t="inlineStr"/>
      <c r="F105" s="4" t="n">
        <v>453</v>
      </c>
      <c r="G105" s="4">
        <f>SUM(f104:f105)</f>
        <v/>
      </c>
      <c r="H105" s="4">
        <f>SUM(g104:g105)</f>
        <v/>
      </c>
      <c r="I105" s="4" t="inlineStr"/>
    </row>
    <row r="106">
      <c r="A106" s="3" t="n"/>
      <c r="B106" s="4" t="n"/>
      <c r="C106" s="4" t="inlineStr">
        <is>
          <t>Oppvarmingsgenser</t>
        </is>
      </c>
      <c r="D106" s="4" t="inlineStr">
        <is>
          <t>GUNDERSEN</t>
        </is>
      </c>
      <c r="E106" s="4" t="inlineStr"/>
      <c r="F106" s="4" t="n">
        <v>412</v>
      </c>
      <c r="G106" s="4" t="n"/>
      <c r="H106" s="4" t="n"/>
      <c r="I106" s="4" t="inlineStr"/>
    </row>
  </sheetData>
  <mergeCells count="114">
    <mergeCell ref="G54:G56"/>
    <mergeCell ref="G25:G34"/>
    <mergeCell ref="B3:B6"/>
    <mergeCell ref="B20"/>
    <mergeCell ref="A105:A106"/>
    <mergeCell ref="G7:G10"/>
    <mergeCell ref="H54:H63"/>
    <mergeCell ref="A45:A52"/>
    <mergeCell ref="B45:B47"/>
    <mergeCell ref="B67:B70"/>
    <mergeCell ref="B78:B79"/>
    <mergeCell ref="B100:B102"/>
    <mergeCell ref="H97:H99"/>
    <mergeCell ref="H67:H73"/>
    <mergeCell ref="B80:B81"/>
    <mergeCell ref="B96"/>
    <mergeCell ref="B103:B104"/>
    <mergeCell ref="H105:H106"/>
    <mergeCell ref="B12:B14"/>
    <mergeCell ref="G51:G52"/>
    <mergeCell ref="B98"/>
    <mergeCell ref="G35:G36"/>
    <mergeCell ref="G37"/>
    <mergeCell ref="G84:G85"/>
    <mergeCell ref="G83"/>
    <mergeCell ref="B82"/>
    <mergeCell ref="A92:A95"/>
    <mergeCell ref="B7:B10"/>
    <mergeCell ref="B41:B44"/>
    <mergeCell ref="H92:H95"/>
    <mergeCell ref="B35:B36"/>
    <mergeCell ref="G45:G47"/>
    <mergeCell ref="A25:A44"/>
    <mergeCell ref="B74"/>
    <mergeCell ref="B83"/>
    <mergeCell ref="G78:G79"/>
    <mergeCell ref="A3:A24"/>
    <mergeCell ref="A97:A99"/>
    <mergeCell ref="H53"/>
    <mergeCell ref="G96"/>
    <mergeCell ref="G103:G104"/>
    <mergeCell ref="H74:H83"/>
    <mergeCell ref="G71"/>
    <mergeCell ref="B84:B85"/>
    <mergeCell ref="G98"/>
    <mergeCell ref="G48:G50"/>
    <mergeCell ref="G82"/>
    <mergeCell ref="G89:G90"/>
    <mergeCell ref="B92:B95"/>
    <mergeCell ref="G38:G40"/>
    <mergeCell ref="H64:H66"/>
    <mergeCell ref="G41:G44"/>
    <mergeCell ref="G53"/>
    <mergeCell ref="B61:B63"/>
    <mergeCell ref="G75:G76"/>
    <mergeCell ref="B48:B50"/>
    <mergeCell ref="G74"/>
    <mergeCell ref="A1:I1"/>
    <mergeCell ref="H25:H44"/>
    <mergeCell ref="B38:B40"/>
    <mergeCell ref="G20"/>
    <mergeCell ref="G67:G70"/>
    <mergeCell ref="B105:B106"/>
    <mergeCell ref="B57:B58"/>
    <mergeCell ref="A100:A104"/>
    <mergeCell ref="G100:G102"/>
    <mergeCell ref="H91"/>
    <mergeCell ref="G3:G6"/>
    <mergeCell ref="B91"/>
    <mergeCell ref="A64:A66"/>
    <mergeCell ref="G80:G81"/>
    <mergeCell ref="A67:A73"/>
    <mergeCell ref="G12:G14"/>
    <mergeCell ref="G86:G88"/>
    <mergeCell ref="G61:G63"/>
    <mergeCell ref="G97"/>
    <mergeCell ref="B77"/>
    <mergeCell ref="B11"/>
    <mergeCell ref="H45:H52"/>
    <mergeCell ref="G72:G73"/>
    <mergeCell ref="B75:B76"/>
    <mergeCell ref="B86:B88"/>
    <mergeCell ref="B72:B73"/>
    <mergeCell ref="G105:G106"/>
    <mergeCell ref="G57:G58"/>
    <mergeCell ref="G64:G66"/>
    <mergeCell ref="H96"/>
    <mergeCell ref="H84:H90"/>
    <mergeCell ref="H100:H104"/>
    <mergeCell ref="B21:B24"/>
    <mergeCell ref="G91"/>
    <mergeCell ref="B15:B19"/>
    <mergeCell ref="G99"/>
    <mergeCell ref="B54:B56"/>
    <mergeCell ref="B97"/>
    <mergeCell ref="B25:B34"/>
    <mergeCell ref="B64:B66"/>
    <mergeCell ref="G77"/>
    <mergeCell ref="G11"/>
    <mergeCell ref="B71"/>
    <mergeCell ref="G92:G95"/>
    <mergeCell ref="H3:H24"/>
    <mergeCell ref="A54:A63"/>
    <mergeCell ref="B89:B90"/>
    <mergeCell ref="G59:G60"/>
    <mergeCell ref="A74:A83"/>
    <mergeCell ref="B51:B52"/>
    <mergeCell ref="A84:A90"/>
    <mergeCell ref="B53"/>
    <mergeCell ref="G21:G24"/>
    <mergeCell ref="B99"/>
    <mergeCell ref="B37"/>
    <mergeCell ref="B59:B60"/>
    <mergeCell ref="G15:G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2026-09-17T10:34:22Z</dcterms:created>
  <dcterms:modified xsi:type="dcterms:W3CDTF">2026-10-01T14:02:25Z</dcterms:modified>
</cp:coreProperties>
</file>