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fa017e0d854f10e/Dokumenter/NTNUI Klubbklær/NTNUI-klubbklar/"/>
    </mc:Choice>
  </mc:AlternateContent>
  <xr:revisionPtr revIDLastSave="6" documentId="11_0B79BA825F5AD8E1E43B888538FCDDF3711FEAC4" xr6:coauthVersionLast="47" xr6:coauthVersionMax="47" xr10:uidLastSave="{0AE495E3-BD51-4D8B-A7FB-F44779416C8A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5" i="1" l="1"/>
  <c r="G185" i="1"/>
  <c r="G183" i="1"/>
  <c r="G180" i="1"/>
  <c r="G174" i="1"/>
  <c r="H172" i="1"/>
  <c r="G169" i="1"/>
  <c r="H166" i="1"/>
  <c r="G166" i="1"/>
  <c r="H164" i="1"/>
  <c r="G164" i="1"/>
  <c r="H157" i="1"/>
  <c r="G157" i="1"/>
  <c r="H155" i="1"/>
  <c r="G155" i="1"/>
  <c r="G151" i="1"/>
  <c r="G146" i="1"/>
  <c r="H142" i="1"/>
  <c r="G142" i="1"/>
  <c r="G138" i="1"/>
  <c r="G136" i="1"/>
  <c r="G131" i="1"/>
  <c r="G128" i="1"/>
  <c r="G126" i="1"/>
  <c r="G122" i="1"/>
  <c r="H119" i="1"/>
  <c r="G119" i="1"/>
  <c r="G116" i="1"/>
  <c r="G114" i="1"/>
  <c r="H107" i="1"/>
  <c r="G107" i="1"/>
  <c r="H104" i="1"/>
  <c r="G104" i="1"/>
  <c r="G101" i="1"/>
  <c r="G98" i="1"/>
  <c r="G93" i="1"/>
  <c r="H89" i="1"/>
  <c r="G89" i="1"/>
  <c r="G85" i="1"/>
  <c r="G80" i="1"/>
  <c r="H76" i="1"/>
  <c r="G76" i="1"/>
  <c r="G68" i="1"/>
  <c r="G63" i="1"/>
  <c r="G61" i="1"/>
  <c r="G59" i="1"/>
  <c r="G55" i="1"/>
  <c r="H41" i="1"/>
  <c r="G41" i="1"/>
  <c r="G36" i="1"/>
  <c r="G27" i="1"/>
  <c r="G22" i="1"/>
  <c r="G19" i="1"/>
  <c r="G12" i="1"/>
  <c r="H3" i="1"/>
  <c r="G3" i="1"/>
</calcChain>
</file>

<file path=xl/sharedStrings.xml><?xml version="1.0" encoding="utf-8"?>
<sst xmlns="http://schemas.openxmlformats.org/spreadsheetml/2006/main" count="380" uniqueCount="136">
  <si>
    <t>Lag</t>
  </si>
  <si>
    <t>Navn</t>
  </si>
  <si>
    <t>Produkt</t>
  </si>
  <si>
    <t>Trykk?</t>
  </si>
  <si>
    <t>Trenerrabatt</t>
  </si>
  <si>
    <t>Kostnad enkelt produkt</t>
  </si>
  <si>
    <t>Kostnad enkelt personer</t>
  </si>
  <si>
    <t>Totalt per lag</t>
  </si>
  <si>
    <t>Kommmentar</t>
  </si>
  <si>
    <t>H-ELITE</t>
  </si>
  <si>
    <t>H1</t>
  </si>
  <si>
    <t>H2C</t>
  </si>
  <si>
    <t>H3A</t>
  </si>
  <si>
    <t>H3B</t>
  </si>
  <si>
    <t>H4A</t>
  </si>
  <si>
    <t>H4B</t>
  </si>
  <si>
    <t>D1</t>
  </si>
  <si>
    <t>D2A</t>
  </si>
  <si>
    <t>D2B</t>
  </si>
  <si>
    <t>D2C</t>
  </si>
  <si>
    <t>D3A</t>
  </si>
  <si>
    <t>D3B</t>
  </si>
  <si>
    <t>D3C</t>
  </si>
  <si>
    <t>D-Bredde</t>
  </si>
  <si>
    <t>Daniel Klopstad</t>
  </si>
  <si>
    <t>Frithjof Moe Slinning</t>
  </si>
  <si>
    <t>Jonas Dormagen-Taraldsrud</t>
  </si>
  <si>
    <t>Kjell Eike Machalowsky</t>
  </si>
  <si>
    <t>Ludvik Mathias Grasdal</t>
  </si>
  <si>
    <t>Simon Klopstad</t>
  </si>
  <si>
    <t>Weston Kirchman</t>
  </si>
  <si>
    <t>Ask Barø Lerfald</t>
  </si>
  <si>
    <t>Chrisander lykke</t>
  </si>
  <si>
    <t>Gustav Vestå</t>
  </si>
  <si>
    <t>Markus Wallstad Hamansen</t>
  </si>
  <si>
    <t>Mats Børja Berg</t>
  </si>
  <si>
    <t>Vetle Tobias Lannem</t>
  </si>
  <si>
    <t>Alejandro Bautista Diaz</t>
  </si>
  <si>
    <t>Andreas Bruun Paulsen</t>
  </si>
  <si>
    <t>Fredrik Ånensen Balas</t>
  </si>
  <si>
    <t xml:space="preserve">Erlend Szontheimer </t>
  </si>
  <si>
    <t>Edvard Hjertvik Aasen</t>
  </si>
  <si>
    <t>Omran Wahidi</t>
  </si>
  <si>
    <t>Snorre Indergaard Drønnen</t>
  </si>
  <si>
    <t xml:space="preserve">Sune Röse </t>
  </si>
  <si>
    <t>Henrikke Søvik Lyngdal</t>
  </si>
  <si>
    <t>Aleksander Hille</t>
  </si>
  <si>
    <t>Kenneth Olstad Johnsen</t>
  </si>
  <si>
    <t>Sindre Bjoreng</t>
  </si>
  <si>
    <t>Eira Aalefjær</t>
  </si>
  <si>
    <t>Evelina Dalisanskaite</t>
  </si>
  <si>
    <t xml:space="preserve">Julie Hoem Jonassen </t>
  </si>
  <si>
    <t>Kamilla Vik Linga</t>
  </si>
  <si>
    <t>Malin Snarheim Brynjelsen</t>
  </si>
  <si>
    <t>Thea Vagle</t>
  </si>
  <si>
    <t>Una Kennethsdatter Nordheim</t>
  </si>
  <si>
    <t xml:space="preserve">Eva Thime Elseth </t>
  </si>
  <si>
    <t>Nora Kjenstadbakk</t>
  </si>
  <si>
    <t>Siri Aasgard</t>
  </si>
  <si>
    <t>Signe Granås</t>
  </si>
  <si>
    <t>Lise Skaar Smines</t>
  </si>
  <si>
    <t xml:space="preserve">Hannah Markhus </t>
  </si>
  <si>
    <t>Christel Berg</t>
  </si>
  <si>
    <t>Lynn Ossege</t>
  </si>
  <si>
    <t>Sofia Stenrød</t>
  </si>
  <si>
    <t>Emma Matilda Silje Pontén Fredman</t>
  </si>
  <si>
    <t xml:space="preserve">Ingse Aasenhuus </t>
  </si>
  <si>
    <t>Islam Qraiqe</t>
  </si>
  <si>
    <t>Mari Nielsen Sollesnes</t>
  </si>
  <si>
    <t>Pia Bjørgum Gauthier</t>
  </si>
  <si>
    <t>Ronja Anneke Gundersen</t>
  </si>
  <si>
    <t>Oppvarmingsgenser</t>
  </si>
  <si>
    <t>Shorts (herre)</t>
  </si>
  <si>
    <t>Tskjorte</t>
  </si>
  <si>
    <t>Bag (38 L)</t>
  </si>
  <si>
    <t>Hettejakke</t>
  </si>
  <si>
    <t>Hettegenser</t>
  </si>
  <si>
    <t>Tynn genser (bomull)</t>
  </si>
  <si>
    <t>Half-zip</t>
  </si>
  <si>
    <t>Crewneck</t>
  </si>
  <si>
    <t>Joggebukse</t>
  </si>
  <si>
    <t>Kompresjonsgenser</t>
  </si>
  <si>
    <t>Sleeves</t>
  </si>
  <si>
    <t>Knebeskytter</t>
  </si>
  <si>
    <t>Shorts (dame)</t>
  </si>
  <si>
    <t>SLINNING</t>
  </si>
  <si>
    <t>MACHALOWSKY</t>
  </si>
  <si>
    <t>Grasdal</t>
  </si>
  <si>
    <t>COACH</t>
  </si>
  <si>
    <t>GRASDAL</t>
  </si>
  <si>
    <t>KLOPSTAD</t>
  </si>
  <si>
    <t>KIRCHMAN</t>
  </si>
  <si>
    <t>BARØ</t>
  </si>
  <si>
    <t>VESTÅ</t>
  </si>
  <si>
    <t>W - HAMANSEN</t>
  </si>
  <si>
    <t>BØRJA</t>
  </si>
  <si>
    <t>LANNEM</t>
  </si>
  <si>
    <t>PAULSEN</t>
  </si>
  <si>
    <t>SZONTHEIMER</t>
  </si>
  <si>
    <t>HJERTVIK AASEN</t>
  </si>
  <si>
    <t>WAHIDI</t>
  </si>
  <si>
    <t>KORTKONGEN</t>
  </si>
  <si>
    <t>RÖSE</t>
  </si>
  <si>
    <t>LYNGDAL</t>
  </si>
  <si>
    <t>HILLE</t>
  </si>
  <si>
    <t>JOHNSEN</t>
  </si>
  <si>
    <t>SINDRE BJORENG</t>
  </si>
  <si>
    <t>DALISANSKAITE</t>
  </si>
  <si>
    <t>LINGA</t>
  </si>
  <si>
    <t>MALIN</t>
  </si>
  <si>
    <t>VAGLE</t>
  </si>
  <si>
    <t>THIME</t>
  </si>
  <si>
    <t xml:space="preserve">KJENSTADBAKK </t>
  </si>
  <si>
    <t>KJENSTADBAKK</t>
  </si>
  <si>
    <t>AASGARD</t>
  </si>
  <si>
    <t>GRANÅS</t>
  </si>
  <si>
    <t>SKAAR SMINES</t>
  </si>
  <si>
    <t>MARKHUS</t>
  </si>
  <si>
    <t>BERG</t>
  </si>
  <si>
    <t>OSSEGE</t>
  </si>
  <si>
    <t>PONTÉN</t>
  </si>
  <si>
    <t xml:space="preserve">AASENHUUS </t>
  </si>
  <si>
    <t>QRAIQE</t>
  </si>
  <si>
    <t>GAUTHIER</t>
  </si>
  <si>
    <t>GUNDERSEN</t>
  </si>
  <si>
    <t>1 svart med navn, 1svart og 1 hvit uten navn</t>
  </si>
  <si>
    <t>men's sizes</t>
  </si>
  <si>
    <t>Ludvik Mathias Grasdal er ikke trener?</t>
  </si>
  <si>
    <t>Mats Børja Berg er ikke trener?</t>
  </si>
  <si>
    <t>PRINT P Å DENNEEE OGSÅ</t>
  </si>
  <si>
    <t>åsly, jeg vil ha print på alle tskjortene👉👈</t>
  </si>
  <si>
    <t>Vil bruke trenerrabatten på denne</t>
  </si>
  <si>
    <t>One Large White t-shirt with print</t>
  </si>
  <si>
    <t>damestørrelse</t>
  </si>
  <si>
    <t>To svarte tskjorter med navn på begge:)</t>
  </si>
  <si>
    <t>Bestillingsskjema NTNUI Volleyball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</si>
</sst>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3C47D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0" xfId="0" applyFont="1" applyFill="1"/>
    <xf numFmtId="0" fontId="0" fillId="3" borderId="0" xfId="0" applyFill="1"/>
    <xf numFmtId="0" fontId="0" fillId="4" borderId="0" xfId="0" applyFill="1"/>
    <xf numFmtId="0" fontId="1" fillId="2" borderId="0" xfId="0" applyFont="1" applyFill="1"/>
    <xf numFmtId="0" fontId="2" fillId="2" borderId="0" xfId="0" applyFont="1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88"/>
  <sheetViews>
    <sheetView tabSelected="1" topLeftCell="A142" workbookViewId="0">
      <selection activeCell="F140" sqref="F140"/>
    </sheetView>
  </sheetViews>
  <sheetFormatPr baseColWidth="10" defaultColWidth="8.7265625" defaultRowHeight="14.5" x14ac:dyDescent="0.35"/>
  <cols>
    <col min="3" max="3" width="18.54296875" bestFit="1" customWidth="1"/>
    <col min="4" max="4" width="15.08984375" bestFit="1" customWidth="1"/>
    <col min="5" max="5" width="11.6328125" bestFit="1" customWidth="1"/>
    <col min="6" max="6" width="20.81640625" bestFit="1" customWidth="1"/>
    <col min="7" max="7" width="21.6328125" bestFit="1" customWidth="1"/>
    <col min="9" max="9" width="37.81640625" bestFit="1" customWidth="1"/>
  </cols>
  <sheetData>
    <row r="1" spans="1:9" ht="21" x14ac:dyDescent="0.5">
      <c r="A1" s="4" t="s">
        <v>135</v>
      </c>
      <c r="B1" s="4"/>
      <c r="C1" s="4"/>
      <c r="D1" s="4"/>
      <c r="E1" s="4"/>
      <c r="F1" s="4"/>
      <c r="G1" s="4"/>
      <c r="H1" s="4"/>
      <c r="I1" s="4"/>
    </row>
    <row r="2" spans="1:9" x14ac:dyDescent="0.3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</row>
    <row r="3" spans="1:9" x14ac:dyDescent="0.35">
      <c r="A3" s="5" t="s">
        <v>9</v>
      </c>
      <c r="B3" s="6" t="s">
        <v>24</v>
      </c>
      <c r="C3" s="2" t="s">
        <v>71</v>
      </c>
      <c r="D3" s="2"/>
      <c r="E3" s="2"/>
      <c r="F3" s="2">
        <v>351</v>
      </c>
      <c r="G3" s="6" t="e">
        <f ca="1">SUMMER(F2:F10)</f>
        <v>#NAME?</v>
      </c>
      <c r="H3" s="6" t="e">
        <f ca="1">SUMMER(G2:G39)</f>
        <v>#NAME?</v>
      </c>
      <c r="I3" s="2"/>
    </row>
    <row r="4" spans="1:9" x14ac:dyDescent="0.35">
      <c r="A4" s="5"/>
      <c r="B4" s="6"/>
      <c r="C4" s="2" t="s">
        <v>72</v>
      </c>
      <c r="D4" s="2"/>
      <c r="E4" s="2"/>
      <c r="F4" s="2">
        <v>188</v>
      </c>
      <c r="G4" s="6"/>
      <c r="H4" s="6"/>
      <c r="I4" s="2"/>
    </row>
    <row r="5" spans="1:9" x14ac:dyDescent="0.35">
      <c r="A5" s="5"/>
      <c r="B5" s="6"/>
      <c r="C5" s="2" t="s">
        <v>72</v>
      </c>
      <c r="D5" s="2"/>
      <c r="E5" s="2"/>
      <c r="F5" s="2">
        <v>188</v>
      </c>
      <c r="G5" s="6"/>
      <c r="H5" s="6"/>
      <c r="I5" s="2"/>
    </row>
    <row r="6" spans="1:9" x14ac:dyDescent="0.35">
      <c r="A6" s="5"/>
      <c r="B6" s="6"/>
      <c r="C6" s="2" t="s">
        <v>72</v>
      </c>
      <c r="D6" s="2"/>
      <c r="E6" s="2"/>
      <c r="F6" s="2">
        <v>188</v>
      </c>
      <c r="G6" s="6"/>
      <c r="H6" s="6"/>
      <c r="I6" s="2"/>
    </row>
    <row r="7" spans="1:9" x14ac:dyDescent="0.35">
      <c r="A7" s="5"/>
      <c r="B7" s="6"/>
      <c r="C7" s="2" t="s">
        <v>73</v>
      </c>
      <c r="D7" s="2"/>
      <c r="E7" s="2"/>
      <c r="F7" s="2">
        <v>196</v>
      </c>
      <c r="G7" s="6"/>
      <c r="H7" s="6"/>
      <c r="I7" s="2"/>
    </row>
    <row r="8" spans="1:9" x14ac:dyDescent="0.35">
      <c r="A8" s="5"/>
      <c r="B8" s="6"/>
      <c r="C8" s="2" t="s">
        <v>73</v>
      </c>
      <c r="D8" s="2"/>
      <c r="E8" s="2"/>
      <c r="F8" s="2">
        <v>196</v>
      </c>
      <c r="G8" s="6"/>
      <c r="H8" s="6"/>
      <c r="I8" s="2"/>
    </row>
    <row r="9" spans="1:9" x14ac:dyDescent="0.35">
      <c r="A9" s="5"/>
      <c r="B9" s="6"/>
      <c r="C9" s="2" t="s">
        <v>73</v>
      </c>
      <c r="D9" s="2"/>
      <c r="E9" s="2"/>
      <c r="F9" s="2">
        <v>196</v>
      </c>
      <c r="G9" s="6"/>
      <c r="H9" s="6"/>
      <c r="I9" s="2"/>
    </row>
    <row r="10" spans="1:9" x14ac:dyDescent="0.35">
      <c r="A10" s="5"/>
      <c r="B10" s="6"/>
      <c r="C10" s="2" t="s">
        <v>73</v>
      </c>
      <c r="D10" s="2"/>
      <c r="E10" s="2"/>
      <c r="F10" s="2">
        <v>196</v>
      </c>
      <c r="G10" s="6"/>
      <c r="H10" s="6"/>
      <c r="I10" s="2"/>
    </row>
    <row r="11" spans="1:9" x14ac:dyDescent="0.35">
      <c r="A11" s="5"/>
      <c r="B11" s="6"/>
      <c r="C11" s="2" t="s">
        <v>73</v>
      </c>
      <c r="D11" s="2"/>
      <c r="E11" s="2"/>
      <c r="F11" s="2">
        <v>196</v>
      </c>
      <c r="G11" s="6"/>
      <c r="H11" s="6"/>
      <c r="I11" s="2"/>
    </row>
    <row r="12" spans="1:9" x14ac:dyDescent="0.35">
      <c r="A12" s="5"/>
      <c r="B12" s="6" t="s">
        <v>25</v>
      </c>
      <c r="C12" s="2" t="s">
        <v>74</v>
      </c>
      <c r="D12" s="2"/>
      <c r="E12" s="2"/>
      <c r="F12" s="2">
        <v>391</v>
      </c>
      <c r="G12" s="6" t="e">
        <f ca="1">SUMMER(F11:F17)</f>
        <v>#NAME?</v>
      </c>
      <c r="H12" s="6"/>
      <c r="I12" s="2"/>
    </row>
    <row r="13" spans="1:9" x14ac:dyDescent="0.35">
      <c r="A13" s="5"/>
      <c r="B13" s="6"/>
      <c r="C13" s="2" t="s">
        <v>75</v>
      </c>
      <c r="D13" s="2" t="s">
        <v>85</v>
      </c>
      <c r="E13" s="2">
        <v>210</v>
      </c>
      <c r="F13" s="2">
        <v>243</v>
      </c>
      <c r="G13" s="6"/>
      <c r="H13" s="6"/>
      <c r="I13" s="2"/>
    </row>
    <row r="14" spans="1:9" x14ac:dyDescent="0.35">
      <c r="A14" s="5"/>
      <c r="B14" s="6"/>
      <c r="C14" s="2" t="s">
        <v>72</v>
      </c>
      <c r="D14" s="2"/>
      <c r="E14" s="2"/>
      <c r="F14" s="2">
        <v>188</v>
      </c>
      <c r="G14" s="6"/>
      <c r="H14" s="6"/>
      <c r="I14" s="2"/>
    </row>
    <row r="15" spans="1:9" x14ac:dyDescent="0.35">
      <c r="A15" s="5"/>
      <c r="B15" s="6"/>
      <c r="C15" s="2" t="s">
        <v>72</v>
      </c>
      <c r="D15" s="2"/>
      <c r="E15" s="2"/>
      <c r="F15" s="2">
        <v>188</v>
      </c>
      <c r="G15" s="6"/>
      <c r="H15" s="6"/>
      <c r="I15" s="2"/>
    </row>
    <row r="16" spans="1:9" x14ac:dyDescent="0.35">
      <c r="A16" s="5"/>
      <c r="B16" s="6"/>
      <c r="C16" s="2" t="s">
        <v>73</v>
      </c>
      <c r="D16" s="2" t="s">
        <v>85</v>
      </c>
      <c r="E16" s="2"/>
      <c r="F16" s="2">
        <v>227</v>
      </c>
      <c r="G16" s="6"/>
      <c r="H16" s="6"/>
      <c r="I16" s="2" t="s">
        <v>125</v>
      </c>
    </row>
    <row r="17" spans="1:9" x14ac:dyDescent="0.35">
      <c r="A17" s="5"/>
      <c r="B17" s="6"/>
      <c r="C17" s="2" t="s">
        <v>73</v>
      </c>
      <c r="D17" s="2" t="s">
        <v>85</v>
      </c>
      <c r="E17" s="2"/>
      <c r="F17" s="2">
        <v>227</v>
      </c>
      <c r="G17" s="6"/>
      <c r="H17" s="6"/>
      <c r="I17" s="2" t="s">
        <v>125</v>
      </c>
    </row>
    <row r="18" spans="1:9" x14ac:dyDescent="0.35">
      <c r="A18" s="5"/>
      <c r="B18" s="6"/>
      <c r="C18" s="2" t="s">
        <v>73</v>
      </c>
      <c r="D18" s="2" t="s">
        <v>85</v>
      </c>
      <c r="E18" s="2"/>
      <c r="F18" s="2">
        <v>227</v>
      </c>
      <c r="G18" s="6"/>
      <c r="H18" s="6"/>
      <c r="I18" s="2" t="s">
        <v>125</v>
      </c>
    </row>
    <row r="19" spans="1:9" x14ac:dyDescent="0.35">
      <c r="A19" s="5"/>
      <c r="B19" s="6" t="s">
        <v>26</v>
      </c>
      <c r="C19" s="2" t="s">
        <v>72</v>
      </c>
      <c r="D19" s="2"/>
      <c r="E19" s="2"/>
      <c r="F19" s="2">
        <v>188</v>
      </c>
      <c r="G19" s="6" t="e">
        <f ca="1">SUMMER(F18:F20)</f>
        <v>#NAME?</v>
      </c>
      <c r="H19" s="6"/>
      <c r="I19" s="2"/>
    </row>
    <row r="20" spans="1:9" x14ac:dyDescent="0.35">
      <c r="A20" s="5"/>
      <c r="B20" s="6"/>
      <c r="C20" s="2" t="s">
        <v>73</v>
      </c>
      <c r="D20" s="2"/>
      <c r="E20" s="2"/>
      <c r="F20" s="2">
        <v>196</v>
      </c>
      <c r="G20" s="6"/>
      <c r="H20" s="6"/>
      <c r="I20" s="2"/>
    </row>
    <row r="21" spans="1:9" x14ac:dyDescent="0.35">
      <c r="A21" s="5"/>
      <c r="B21" s="6"/>
      <c r="C21" s="2" t="s">
        <v>73</v>
      </c>
      <c r="D21" s="2"/>
      <c r="E21" s="2"/>
      <c r="F21" s="2">
        <v>196</v>
      </c>
      <c r="G21" s="6"/>
      <c r="H21" s="6"/>
      <c r="I21" s="2"/>
    </row>
    <row r="22" spans="1:9" x14ac:dyDescent="0.35">
      <c r="A22" s="5"/>
      <c r="B22" s="6" t="s">
        <v>27</v>
      </c>
      <c r="C22" s="2" t="s">
        <v>76</v>
      </c>
      <c r="D22" s="2" t="s">
        <v>86</v>
      </c>
      <c r="E22" s="2"/>
      <c r="F22" s="2">
        <v>367</v>
      </c>
      <c r="G22" s="6" t="e">
        <f ca="1">SUMMER(F21:F25)</f>
        <v>#NAME?</v>
      </c>
      <c r="H22" s="6"/>
      <c r="I22" s="2"/>
    </row>
    <row r="23" spans="1:9" x14ac:dyDescent="0.35">
      <c r="A23" s="5"/>
      <c r="B23" s="6"/>
      <c r="C23" s="2" t="s">
        <v>72</v>
      </c>
      <c r="D23" s="2"/>
      <c r="E23" s="2"/>
      <c r="F23" s="2">
        <v>188</v>
      </c>
      <c r="G23" s="6"/>
      <c r="H23" s="6"/>
      <c r="I23" s="2"/>
    </row>
    <row r="24" spans="1:9" x14ac:dyDescent="0.35">
      <c r="A24" s="5"/>
      <c r="B24" s="6"/>
      <c r="C24" s="2" t="s">
        <v>73</v>
      </c>
      <c r="D24" s="2" t="s">
        <v>86</v>
      </c>
      <c r="E24" s="2"/>
      <c r="F24" s="2">
        <v>227</v>
      </c>
      <c r="G24" s="6"/>
      <c r="H24" s="6"/>
      <c r="I24" s="2" t="s">
        <v>126</v>
      </c>
    </row>
    <row r="25" spans="1:9" x14ac:dyDescent="0.35">
      <c r="A25" s="5"/>
      <c r="B25" s="6"/>
      <c r="C25" s="2" t="s">
        <v>73</v>
      </c>
      <c r="D25" s="2" t="s">
        <v>86</v>
      </c>
      <c r="E25" s="2"/>
      <c r="F25" s="2">
        <v>227</v>
      </c>
      <c r="G25" s="6"/>
      <c r="H25" s="6"/>
      <c r="I25" s="2" t="s">
        <v>126</v>
      </c>
    </row>
    <row r="26" spans="1:9" x14ac:dyDescent="0.35">
      <c r="A26" s="5"/>
      <c r="B26" s="6"/>
      <c r="C26" s="2" t="s">
        <v>77</v>
      </c>
      <c r="D26" s="2"/>
      <c r="E26" s="2"/>
      <c r="F26" s="2">
        <v>193</v>
      </c>
      <c r="G26" s="6"/>
      <c r="H26" s="6"/>
      <c r="I26" s="2"/>
    </row>
    <row r="27" spans="1:9" x14ac:dyDescent="0.35">
      <c r="A27" s="5"/>
      <c r="B27" s="6" t="s">
        <v>28</v>
      </c>
      <c r="C27" s="2" t="s">
        <v>74</v>
      </c>
      <c r="D27" s="2"/>
      <c r="E27" s="2"/>
      <c r="F27" s="2">
        <v>391</v>
      </c>
      <c r="G27" s="6" t="e">
        <f ca="1">SUMMER(F26:F33)</f>
        <v>#NAME?</v>
      </c>
      <c r="H27" s="6"/>
      <c r="I27" s="2"/>
    </row>
    <row r="28" spans="1:9" x14ac:dyDescent="0.35">
      <c r="A28" s="5"/>
      <c r="B28" s="6"/>
      <c r="C28" s="2" t="s">
        <v>78</v>
      </c>
      <c r="D28" s="2" t="s">
        <v>87</v>
      </c>
      <c r="E28" s="2"/>
      <c r="F28" s="2">
        <v>453</v>
      </c>
      <c r="G28" s="6"/>
      <c r="H28" s="6"/>
      <c r="I28" s="2"/>
    </row>
    <row r="29" spans="1:9" x14ac:dyDescent="0.35">
      <c r="A29" s="5"/>
      <c r="B29" s="6"/>
      <c r="C29" s="2" t="s">
        <v>75</v>
      </c>
      <c r="D29" s="2" t="s">
        <v>88</v>
      </c>
      <c r="E29" s="2">
        <v>0</v>
      </c>
      <c r="F29" s="2">
        <v>453</v>
      </c>
      <c r="G29" s="6"/>
      <c r="H29" s="6"/>
      <c r="I29" s="2" t="s">
        <v>127</v>
      </c>
    </row>
    <row r="30" spans="1:9" x14ac:dyDescent="0.35">
      <c r="A30" s="5"/>
      <c r="B30" s="6"/>
      <c r="C30" s="2" t="s">
        <v>72</v>
      </c>
      <c r="D30" s="2"/>
      <c r="E30" s="2"/>
      <c r="F30" s="2">
        <v>188</v>
      </c>
      <c r="G30" s="6"/>
      <c r="H30" s="6"/>
      <c r="I30" s="2"/>
    </row>
    <row r="31" spans="1:9" x14ac:dyDescent="0.35">
      <c r="A31" s="5"/>
      <c r="B31" s="6"/>
      <c r="C31" s="2" t="s">
        <v>72</v>
      </c>
      <c r="D31" s="2"/>
      <c r="E31" s="2"/>
      <c r="F31" s="2">
        <v>188</v>
      </c>
      <c r="G31" s="6"/>
      <c r="H31" s="6"/>
      <c r="I31" s="2"/>
    </row>
    <row r="32" spans="1:9" x14ac:dyDescent="0.35">
      <c r="A32" s="5"/>
      <c r="B32" s="6"/>
      <c r="C32" s="2" t="s">
        <v>73</v>
      </c>
      <c r="D32" s="2" t="s">
        <v>89</v>
      </c>
      <c r="E32" s="2"/>
      <c r="F32" s="2">
        <v>227</v>
      </c>
      <c r="G32" s="6"/>
      <c r="H32" s="6"/>
      <c r="I32" s="2"/>
    </row>
    <row r="33" spans="1:9" x14ac:dyDescent="0.35">
      <c r="A33" s="5"/>
      <c r="B33" s="6"/>
      <c r="C33" s="2" t="s">
        <v>73</v>
      </c>
      <c r="D33" s="2" t="s">
        <v>89</v>
      </c>
      <c r="E33" s="2"/>
      <c r="F33" s="2">
        <v>227</v>
      </c>
      <c r="G33" s="6"/>
      <c r="H33" s="6"/>
      <c r="I33" s="2"/>
    </row>
    <row r="34" spans="1:9" x14ac:dyDescent="0.35">
      <c r="A34" s="5"/>
      <c r="B34" s="6"/>
      <c r="C34" s="2" t="s">
        <v>73</v>
      </c>
      <c r="D34" s="2" t="s">
        <v>89</v>
      </c>
      <c r="E34" s="2"/>
      <c r="F34" s="2">
        <v>227</v>
      </c>
      <c r="G34" s="6"/>
      <c r="H34" s="6"/>
      <c r="I34" s="2"/>
    </row>
    <row r="35" spans="1:9" x14ac:dyDescent="0.35">
      <c r="A35" s="5"/>
      <c r="B35" s="2" t="s">
        <v>29</v>
      </c>
      <c r="C35" s="2" t="s">
        <v>71</v>
      </c>
      <c r="D35" s="2" t="s">
        <v>90</v>
      </c>
      <c r="E35" s="2"/>
      <c r="F35" s="2">
        <v>412</v>
      </c>
      <c r="G35" s="2">
        <v>412</v>
      </c>
      <c r="H35" s="6"/>
      <c r="I35" s="2"/>
    </row>
    <row r="36" spans="1:9" x14ac:dyDescent="0.35">
      <c r="A36" s="5"/>
      <c r="B36" s="6" t="s">
        <v>30</v>
      </c>
      <c r="C36" s="2" t="s">
        <v>79</v>
      </c>
      <c r="D36" s="2" t="s">
        <v>91</v>
      </c>
      <c r="E36" s="2"/>
      <c r="F36" s="2">
        <v>335</v>
      </c>
      <c r="G36" s="6" t="e">
        <f ca="1">SUMMER(F35:F39)</f>
        <v>#NAME?</v>
      </c>
      <c r="H36" s="6"/>
      <c r="I36" s="2"/>
    </row>
    <row r="37" spans="1:9" x14ac:dyDescent="0.35">
      <c r="A37" s="5"/>
      <c r="B37" s="6"/>
      <c r="C37" s="2" t="s">
        <v>72</v>
      </c>
      <c r="D37" s="2"/>
      <c r="E37" s="2"/>
      <c r="F37" s="2">
        <v>188</v>
      </c>
      <c r="G37" s="6"/>
      <c r="H37" s="6"/>
      <c r="I37" s="2"/>
    </row>
    <row r="38" spans="1:9" x14ac:dyDescent="0.35">
      <c r="A38" s="5"/>
      <c r="B38" s="6"/>
      <c r="C38" s="2" t="s">
        <v>72</v>
      </c>
      <c r="D38" s="2"/>
      <c r="E38" s="2"/>
      <c r="F38" s="2">
        <v>188</v>
      </c>
      <c r="G38" s="6"/>
      <c r="H38" s="6"/>
      <c r="I38" s="2"/>
    </row>
    <row r="39" spans="1:9" x14ac:dyDescent="0.35">
      <c r="A39" s="5"/>
      <c r="B39" s="6"/>
      <c r="C39" s="2" t="s">
        <v>73</v>
      </c>
      <c r="D39" s="2"/>
      <c r="E39" s="2"/>
      <c r="F39" s="2">
        <v>196</v>
      </c>
      <c r="G39" s="6"/>
      <c r="H39" s="6"/>
      <c r="I39" s="2"/>
    </row>
    <row r="40" spans="1:9" x14ac:dyDescent="0.35">
      <c r="A40" s="5"/>
      <c r="B40" s="6"/>
      <c r="C40" s="2" t="s">
        <v>77</v>
      </c>
      <c r="D40" s="2"/>
      <c r="E40" s="2"/>
      <c r="F40" s="2">
        <v>193</v>
      </c>
      <c r="G40" s="6"/>
      <c r="H40" s="6"/>
      <c r="I40" s="2"/>
    </row>
    <row r="41" spans="1:9" x14ac:dyDescent="0.35">
      <c r="A41" s="5" t="s">
        <v>10</v>
      </c>
      <c r="B41" s="7" t="s">
        <v>31</v>
      </c>
      <c r="C41" s="3" t="s">
        <v>78</v>
      </c>
      <c r="D41" s="3" t="s">
        <v>92</v>
      </c>
      <c r="E41" s="3"/>
      <c r="F41" s="3">
        <v>453</v>
      </c>
      <c r="G41" s="7" t="e">
        <f ca="1">SUMMER(F40:F53)</f>
        <v>#NAME?</v>
      </c>
      <c r="H41" s="7" t="e">
        <f ca="1">SUMMER(G40:G74)</f>
        <v>#NAME?</v>
      </c>
      <c r="I41" s="3"/>
    </row>
    <row r="42" spans="1:9" x14ac:dyDescent="0.35">
      <c r="A42" s="5"/>
      <c r="B42" s="7"/>
      <c r="C42" s="3" t="s">
        <v>75</v>
      </c>
      <c r="D42" s="3" t="s">
        <v>92</v>
      </c>
      <c r="E42" s="3"/>
      <c r="F42" s="3">
        <v>453</v>
      </c>
      <c r="G42" s="7"/>
      <c r="H42" s="7"/>
      <c r="I42" s="3"/>
    </row>
    <row r="43" spans="1:9" x14ac:dyDescent="0.35">
      <c r="A43" s="5"/>
      <c r="B43" s="7"/>
      <c r="C43" s="3" t="s">
        <v>80</v>
      </c>
      <c r="D43" s="3"/>
      <c r="E43" s="3"/>
      <c r="F43" s="3">
        <v>279</v>
      </c>
      <c r="G43" s="7"/>
      <c r="H43" s="7"/>
      <c r="I43" s="3"/>
    </row>
    <row r="44" spans="1:9" x14ac:dyDescent="0.35">
      <c r="A44" s="5"/>
      <c r="B44" s="7"/>
      <c r="C44" s="3" t="s">
        <v>80</v>
      </c>
      <c r="D44" s="3"/>
      <c r="E44" s="3"/>
      <c r="F44" s="3">
        <v>279</v>
      </c>
      <c r="G44" s="7"/>
      <c r="H44" s="7"/>
      <c r="I44" s="3"/>
    </row>
    <row r="45" spans="1:9" x14ac:dyDescent="0.35">
      <c r="A45" s="5"/>
      <c r="B45" s="7"/>
      <c r="C45" s="3" t="s">
        <v>80</v>
      </c>
      <c r="D45" s="3"/>
      <c r="E45" s="3"/>
      <c r="F45" s="3">
        <v>279</v>
      </c>
      <c r="G45" s="7"/>
      <c r="H45" s="7"/>
      <c r="I45" s="3"/>
    </row>
    <row r="46" spans="1:9" x14ac:dyDescent="0.35">
      <c r="A46" s="5"/>
      <c r="B46" s="7"/>
      <c r="C46" s="3" t="s">
        <v>71</v>
      </c>
      <c r="D46" s="3" t="s">
        <v>92</v>
      </c>
      <c r="E46" s="3"/>
      <c r="F46" s="3">
        <v>412</v>
      </c>
      <c r="G46" s="7"/>
      <c r="H46" s="7"/>
      <c r="I46" s="3"/>
    </row>
    <row r="47" spans="1:9" x14ac:dyDescent="0.35">
      <c r="A47" s="5"/>
      <c r="B47" s="7"/>
      <c r="C47" s="3" t="s">
        <v>71</v>
      </c>
      <c r="D47" s="3" t="s">
        <v>92</v>
      </c>
      <c r="E47" s="3"/>
      <c r="F47" s="3">
        <v>412</v>
      </c>
      <c r="G47" s="7"/>
      <c r="H47" s="7"/>
      <c r="I47" s="3"/>
    </row>
    <row r="48" spans="1:9" x14ac:dyDescent="0.35">
      <c r="A48" s="5"/>
      <c r="B48" s="7"/>
      <c r="C48" s="3" t="s">
        <v>71</v>
      </c>
      <c r="D48" s="3" t="s">
        <v>92</v>
      </c>
      <c r="E48" s="3"/>
      <c r="F48" s="3">
        <v>412</v>
      </c>
      <c r="G48" s="7"/>
      <c r="H48" s="7"/>
      <c r="I48" s="3"/>
    </row>
    <row r="49" spans="1:9" x14ac:dyDescent="0.35">
      <c r="A49" s="5"/>
      <c r="B49" s="7"/>
      <c r="C49" s="3" t="s">
        <v>72</v>
      </c>
      <c r="D49" s="3"/>
      <c r="E49" s="3"/>
      <c r="F49" s="3">
        <v>188</v>
      </c>
      <c r="G49" s="7"/>
      <c r="H49" s="7"/>
      <c r="I49" s="3"/>
    </row>
    <row r="50" spans="1:9" x14ac:dyDescent="0.35">
      <c r="A50" s="5"/>
      <c r="B50" s="7"/>
      <c r="C50" s="3" t="s">
        <v>72</v>
      </c>
      <c r="D50" s="3"/>
      <c r="E50" s="3"/>
      <c r="F50" s="3">
        <v>188</v>
      </c>
      <c r="G50" s="7"/>
      <c r="H50" s="7"/>
      <c r="I50" s="3"/>
    </row>
    <row r="51" spans="1:9" x14ac:dyDescent="0.35">
      <c r="A51" s="5"/>
      <c r="B51" s="7"/>
      <c r="C51" s="3" t="s">
        <v>73</v>
      </c>
      <c r="D51" s="3" t="s">
        <v>92</v>
      </c>
      <c r="E51" s="3"/>
      <c r="F51" s="3">
        <v>227</v>
      </c>
      <c r="G51" s="7"/>
      <c r="H51" s="7"/>
      <c r="I51" s="3"/>
    </row>
    <row r="52" spans="1:9" x14ac:dyDescent="0.35">
      <c r="A52" s="5"/>
      <c r="B52" s="7"/>
      <c r="C52" s="3" t="s">
        <v>73</v>
      </c>
      <c r="D52" s="3" t="s">
        <v>92</v>
      </c>
      <c r="E52" s="3"/>
      <c r="F52" s="3">
        <v>227</v>
      </c>
      <c r="G52" s="7"/>
      <c r="H52" s="7"/>
      <c r="I52" s="3"/>
    </row>
    <row r="53" spans="1:9" x14ac:dyDescent="0.35">
      <c r="A53" s="5"/>
      <c r="B53" s="7"/>
      <c r="C53" s="3" t="s">
        <v>73</v>
      </c>
      <c r="D53" s="3" t="s">
        <v>92</v>
      </c>
      <c r="E53" s="3"/>
      <c r="F53" s="3">
        <v>227</v>
      </c>
      <c r="G53" s="7"/>
      <c r="H53" s="7"/>
      <c r="I53" s="3"/>
    </row>
    <row r="54" spans="1:9" x14ac:dyDescent="0.35">
      <c r="A54" s="5"/>
      <c r="B54" s="7"/>
      <c r="C54" s="3" t="s">
        <v>73</v>
      </c>
      <c r="D54" s="3" t="s">
        <v>92</v>
      </c>
      <c r="E54" s="3"/>
      <c r="F54" s="3">
        <v>227</v>
      </c>
      <c r="G54" s="7"/>
      <c r="H54" s="7"/>
      <c r="I54" s="3"/>
    </row>
    <row r="55" spans="1:9" x14ac:dyDescent="0.35">
      <c r="A55" s="5"/>
      <c r="B55" s="7" t="s">
        <v>32</v>
      </c>
      <c r="C55" s="3" t="s">
        <v>72</v>
      </c>
      <c r="D55" s="3"/>
      <c r="E55" s="3"/>
      <c r="F55" s="3">
        <v>188</v>
      </c>
      <c r="G55" s="7" t="e">
        <f ca="1">SUMMER(F54:F57)</f>
        <v>#NAME?</v>
      </c>
      <c r="H55" s="7"/>
      <c r="I55" s="3"/>
    </row>
    <row r="56" spans="1:9" x14ac:dyDescent="0.35">
      <c r="A56" s="5"/>
      <c r="B56" s="7"/>
      <c r="C56" s="3" t="s">
        <v>72</v>
      </c>
      <c r="D56" s="3"/>
      <c r="E56" s="3"/>
      <c r="F56" s="3">
        <v>188</v>
      </c>
      <c r="G56" s="7"/>
      <c r="H56" s="7"/>
      <c r="I56" s="3"/>
    </row>
    <row r="57" spans="1:9" x14ac:dyDescent="0.35">
      <c r="A57" s="5"/>
      <c r="B57" s="7"/>
      <c r="C57" s="3" t="s">
        <v>73</v>
      </c>
      <c r="D57" s="3"/>
      <c r="E57" s="3"/>
      <c r="F57" s="3">
        <v>196</v>
      </c>
      <c r="G57" s="7"/>
      <c r="H57" s="7"/>
      <c r="I57" s="3"/>
    </row>
    <row r="58" spans="1:9" x14ac:dyDescent="0.35">
      <c r="A58" s="5"/>
      <c r="B58" s="7"/>
      <c r="C58" s="3" t="s">
        <v>73</v>
      </c>
      <c r="D58" s="3"/>
      <c r="E58" s="3"/>
      <c r="F58" s="3">
        <v>196</v>
      </c>
      <c r="G58" s="7"/>
      <c r="H58" s="7"/>
      <c r="I58" s="3"/>
    </row>
    <row r="59" spans="1:9" x14ac:dyDescent="0.35">
      <c r="A59" s="5"/>
      <c r="B59" s="7" t="s">
        <v>33</v>
      </c>
      <c r="C59" s="3" t="s">
        <v>73</v>
      </c>
      <c r="D59" s="3" t="s">
        <v>93</v>
      </c>
      <c r="E59" s="3"/>
      <c r="F59" s="3">
        <v>227</v>
      </c>
      <c r="G59" s="7" t="e">
        <f ca="1">SUMMER(F58:F59)</f>
        <v>#NAME?</v>
      </c>
      <c r="H59" s="7"/>
      <c r="I59" s="3"/>
    </row>
    <row r="60" spans="1:9" x14ac:dyDescent="0.35">
      <c r="A60" s="5"/>
      <c r="B60" s="7"/>
      <c r="C60" s="3" t="s">
        <v>73</v>
      </c>
      <c r="D60" s="3" t="s">
        <v>93</v>
      </c>
      <c r="E60" s="3"/>
      <c r="F60" s="3">
        <v>227</v>
      </c>
      <c r="G60" s="7"/>
      <c r="H60" s="7"/>
      <c r="I60" s="3"/>
    </row>
    <row r="61" spans="1:9" x14ac:dyDescent="0.35">
      <c r="A61" s="5"/>
      <c r="B61" s="7" t="s">
        <v>34</v>
      </c>
      <c r="C61" s="3" t="s">
        <v>72</v>
      </c>
      <c r="D61" s="3"/>
      <c r="E61" s="3"/>
      <c r="F61" s="3">
        <v>188</v>
      </c>
      <c r="G61" s="7" t="e">
        <f ca="1">SUMMER(F60:F61)</f>
        <v>#NAME?</v>
      </c>
      <c r="H61" s="7"/>
      <c r="I61" s="3"/>
    </row>
    <row r="62" spans="1:9" x14ac:dyDescent="0.35">
      <c r="A62" s="5"/>
      <c r="B62" s="7"/>
      <c r="C62" s="3" t="s">
        <v>73</v>
      </c>
      <c r="D62" s="3" t="s">
        <v>94</v>
      </c>
      <c r="E62" s="3"/>
      <c r="F62" s="3">
        <v>227</v>
      </c>
      <c r="G62" s="7"/>
      <c r="H62" s="7"/>
      <c r="I62" s="3"/>
    </row>
    <row r="63" spans="1:9" x14ac:dyDescent="0.35">
      <c r="A63" s="5"/>
      <c r="B63" s="7" t="s">
        <v>35</v>
      </c>
      <c r="C63" s="3" t="s">
        <v>75</v>
      </c>
      <c r="D63" s="3" t="s">
        <v>95</v>
      </c>
      <c r="E63" s="3">
        <v>0</v>
      </c>
      <c r="F63" s="3">
        <v>453</v>
      </c>
      <c r="G63" s="7" t="e">
        <f ca="1">SUMMER(F62:F66)</f>
        <v>#NAME?</v>
      </c>
      <c r="H63" s="7"/>
      <c r="I63" s="3" t="s">
        <v>128</v>
      </c>
    </row>
    <row r="64" spans="1:9" x14ac:dyDescent="0.35">
      <c r="A64" s="5"/>
      <c r="B64" s="7"/>
      <c r="C64" s="3" t="s">
        <v>80</v>
      </c>
      <c r="D64" s="3"/>
      <c r="E64" s="3"/>
      <c r="F64" s="3">
        <v>279</v>
      </c>
      <c r="G64" s="7"/>
      <c r="H64" s="7"/>
      <c r="I64" s="3"/>
    </row>
    <row r="65" spans="1:9" x14ac:dyDescent="0.35">
      <c r="A65" s="5"/>
      <c r="B65" s="7"/>
      <c r="C65" s="3" t="s">
        <v>72</v>
      </c>
      <c r="D65" s="3"/>
      <c r="E65" s="3"/>
      <c r="F65" s="3">
        <v>188</v>
      </c>
      <c r="G65" s="7"/>
      <c r="H65" s="7"/>
      <c r="I65" s="3"/>
    </row>
    <row r="66" spans="1:9" x14ac:dyDescent="0.35">
      <c r="A66" s="5"/>
      <c r="B66" s="7"/>
      <c r="C66" s="3" t="s">
        <v>73</v>
      </c>
      <c r="D66" s="3" t="s">
        <v>95</v>
      </c>
      <c r="E66" s="3"/>
      <c r="F66" s="3">
        <v>227</v>
      </c>
      <c r="G66" s="7"/>
      <c r="H66" s="7"/>
      <c r="I66" s="3"/>
    </row>
    <row r="67" spans="1:9" x14ac:dyDescent="0.35">
      <c r="A67" s="5"/>
      <c r="B67" s="7"/>
      <c r="C67" s="3" t="s">
        <v>73</v>
      </c>
      <c r="D67" s="3" t="s">
        <v>95</v>
      </c>
      <c r="E67" s="3"/>
      <c r="F67" s="3">
        <v>227</v>
      </c>
      <c r="G67" s="7"/>
      <c r="H67" s="7"/>
      <c r="I67" s="3"/>
    </row>
    <row r="68" spans="1:9" x14ac:dyDescent="0.35">
      <c r="A68" s="5"/>
      <c r="B68" s="7" t="s">
        <v>36</v>
      </c>
      <c r="C68" s="3" t="s">
        <v>80</v>
      </c>
      <c r="D68" s="3"/>
      <c r="E68" s="3"/>
      <c r="F68" s="3">
        <v>279</v>
      </c>
      <c r="G68" s="7" t="e">
        <f ca="1">SUMMER(F67:F74)</f>
        <v>#NAME?</v>
      </c>
      <c r="H68" s="7"/>
      <c r="I68" s="3"/>
    </row>
    <row r="69" spans="1:9" x14ac:dyDescent="0.35">
      <c r="A69" s="5"/>
      <c r="B69" s="7"/>
      <c r="C69" s="3" t="s">
        <v>71</v>
      </c>
      <c r="D69" s="3" t="s">
        <v>96</v>
      </c>
      <c r="E69" s="3"/>
      <c r="F69" s="3">
        <v>412</v>
      </c>
      <c r="G69" s="7"/>
      <c r="H69" s="7"/>
      <c r="I69" s="3" t="s">
        <v>129</v>
      </c>
    </row>
    <row r="70" spans="1:9" x14ac:dyDescent="0.35">
      <c r="A70" s="5"/>
      <c r="B70" s="7"/>
      <c r="C70" s="3" t="s">
        <v>72</v>
      </c>
      <c r="D70" s="3"/>
      <c r="E70" s="3"/>
      <c r="F70" s="3">
        <v>188</v>
      </c>
      <c r="G70" s="7"/>
      <c r="H70" s="7"/>
      <c r="I70" s="3"/>
    </row>
    <row r="71" spans="1:9" x14ac:dyDescent="0.35">
      <c r="A71" s="5"/>
      <c r="B71" s="7"/>
      <c r="C71" s="3" t="s">
        <v>72</v>
      </c>
      <c r="D71" s="3"/>
      <c r="E71" s="3"/>
      <c r="F71" s="3">
        <v>188</v>
      </c>
      <c r="G71" s="7"/>
      <c r="H71" s="7"/>
      <c r="I71" s="3"/>
    </row>
    <row r="72" spans="1:9" x14ac:dyDescent="0.35">
      <c r="A72" s="5"/>
      <c r="B72" s="7"/>
      <c r="C72" s="3" t="s">
        <v>73</v>
      </c>
      <c r="D72" s="3" t="s">
        <v>96</v>
      </c>
      <c r="E72" s="3"/>
      <c r="F72" s="3">
        <v>227</v>
      </c>
      <c r="G72" s="7"/>
      <c r="H72" s="7"/>
      <c r="I72" s="3" t="s">
        <v>130</v>
      </c>
    </row>
    <row r="73" spans="1:9" x14ac:dyDescent="0.35">
      <c r="A73" s="5"/>
      <c r="B73" s="7"/>
      <c r="C73" s="3" t="s">
        <v>73</v>
      </c>
      <c r="D73" s="3" t="s">
        <v>96</v>
      </c>
      <c r="E73" s="3"/>
      <c r="F73" s="3">
        <v>227</v>
      </c>
      <c r="G73" s="7"/>
      <c r="H73" s="7"/>
      <c r="I73" s="3" t="s">
        <v>130</v>
      </c>
    </row>
    <row r="74" spans="1:9" x14ac:dyDescent="0.35">
      <c r="A74" s="5"/>
      <c r="B74" s="7"/>
      <c r="C74" s="3" t="s">
        <v>73</v>
      </c>
      <c r="D74" s="3" t="s">
        <v>96</v>
      </c>
      <c r="E74" s="3"/>
      <c r="F74" s="3">
        <v>227</v>
      </c>
      <c r="G74" s="7"/>
      <c r="H74" s="7"/>
      <c r="I74" s="3" t="s">
        <v>130</v>
      </c>
    </row>
    <row r="75" spans="1:9" x14ac:dyDescent="0.35">
      <c r="A75" s="5"/>
      <c r="B75" s="7"/>
      <c r="C75" s="3" t="s">
        <v>73</v>
      </c>
      <c r="D75" s="3" t="s">
        <v>96</v>
      </c>
      <c r="E75" s="3"/>
      <c r="F75" s="3">
        <v>227</v>
      </c>
      <c r="G75" s="7"/>
      <c r="H75" s="7"/>
      <c r="I75" s="3" t="s">
        <v>130</v>
      </c>
    </row>
    <row r="76" spans="1:9" x14ac:dyDescent="0.35">
      <c r="A76" s="5" t="s">
        <v>11</v>
      </c>
      <c r="B76" s="6" t="s">
        <v>37</v>
      </c>
      <c r="C76" s="2" t="s">
        <v>78</v>
      </c>
      <c r="D76" s="2"/>
      <c r="E76" s="2"/>
      <c r="F76" s="2">
        <v>422</v>
      </c>
      <c r="G76" s="6" t="e">
        <f ca="1">SUMMER(F75:F78)</f>
        <v>#NAME?</v>
      </c>
      <c r="H76" s="6" t="e">
        <f ca="1">SUMMER(G75:G86)</f>
        <v>#NAME?</v>
      </c>
      <c r="I76" s="2"/>
    </row>
    <row r="77" spans="1:9" x14ac:dyDescent="0.35">
      <c r="A77" s="5"/>
      <c r="B77" s="6"/>
      <c r="C77" s="2" t="s">
        <v>72</v>
      </c>
      <c r="D77" s="2"/>
      <c r="E77" s="2"/>
      <c r="F77" s="2">
        <v>188</v>
      </c>
      <c r="G77" s="6"/>
      <c r="H77" s="6"/>
      <c r="I77" s="2"/>
    </row>
    <row r="78" spans="1:9" x14ac:dyDescent="0.35">
      <c r="A78" s="5"/>
      <c r="B78" s="6"/>
      <c r="C78" s="2" t="s">
        <v>72</v>
      </c>
      <c r="D78" s="2"/>
      <c r="E78" s="2"/>
      <c r="F78" s="2">
        <v>188</v>
      </c>
      <c r="G78" s="6"/>
      <c r="H78" s="6"/>
      <c r="I78" s="2"/>
    </row>
    <row r="79" spans="1:9" x14ac:dyDescent="0.35">
      <c r="A79" s="5"/>
      <c r="B79" s="6"/>
      <c r="C79" s="2" t="s">
        <v>73</v>
      </c>
      <c r="D79" s="2"/>
      <c r="E79" s="2"/>
      <c r="F79" s="2">
        <v>196</v>
      </c>
      <c r="G79" s="6"/>
      <c r="H79" s="6"/>
      <c r="I79" s="2"/>
    </row>
    <row r="80" spans="1:9" x14ac:dyDescent="0.35">
      <c r="A80" s="5"/>
      <c r="B80" s="6" t="s">
        <v>38</v>
      </c>
      <c r="C80" s="2" t="s">
        <v>78</v>
      </c>
      <c r="D80" s="2" t="s">
        <v>97</v>
      </c>
      <c r="E80" s="2"/>
      <c r="F80" s="2">
        <v>453</v>
      </c>
      <c r="G80" s="6" t="e">
        <f ca="1">SUMMER(F79:F83)</f>
        <v>#NAME?</v>
      </c>
      <c r="H80" s="6"/>
      <c r="I80" s="2"/>
    </row>
    <row r="81" spans="1:9" x14ac:dyDescent="0.35">
      <c r="A81" s="5"/>
      <c r="B81" s="6"/>
      <c r="C81" s="2" t="s">
        <v>81</v>
      </c>
      <c r="D81" s="2"/>
      <c r="E81" s="2"/>
      <c r="F81" s="2">
        <v>356</v>
      </c>
      <c r="G81" s="6"/>
      <c r="H81" s="6"/>
      <c r="I81" s="2"/>
    </row>
    <row r="82" spans="1:9" x14ac:dyDescent="0.35">
      <c r="A82" s="5"/>
      <c r="B82" s="6"/>
      <c r="C82" s="2" t="s">
        <v>72</v>
      </c>
      <c r="D82" s="2"/>
      <c r="E82" s="2"/>
      <c r="F82" s="2">
        <v>188</v>
      </c>
      <c r="G82" s="6"/>
      <c r="H82" s="6"/>
      <c r="I82" s="2"/>
    </row>
    <row r="83" spans="1:9" x14ac:dyDescent="0.35">
      <c r="A83" s="5"/>
      <c r="B83" s="6"/>
      <c r="C83" s="2" t="s">
        <v>73</v>
      </c>
      <c r="D83" s="2" t="s">
        <v>97</v>
      </c>
      <c r="E83" s="2"/>
      <c r="F83" s="2">
        <v>227</v>
      </c>
      <c r="G83" s="6"/>
      <c r="H83" s="6"/>
      <c r="I83" s="2"/>
    </row>
    <row r="84" spans="1:9" x14ac:dyDescent="0.35">
      <c r="A84" s="5"/>
      <c r="B84" s="6"/>
      <c r="C84" s="2" t="s">
        <v>73</v>
      </c>
      <c r="D84" s="2" t="s">
        <v>97</v>
      </c>
      <c r="E84" s="2"/>
      <c r="F84" s="2">
        <v>227</v>
      </c>
      <c r="G84" s="6"/>
      <c r="H84" s="6"/>
      <c r="I84" s="2"/>
    </row>
    <row r="85" spans="1:9" x14ac:dyDescent="0.35">
      <c r="A85" s="5"/>
      <c r="B85" s="6" t="s">
        <v>39</v>
      </c>
      <c r="C85" s="2" t="s">
        <v>78</v>
      </c>
      <c r="D85" s="2"/>
      <c r="E85" s="2"/>
      <c r="F85" s="2">
        <v>422</v>
      </c>
      <c r="G85" s="6" t="e">
        <f ca="1">SUMMER(F84:F86)</f>
        <v>#NAME?</v>
      </c>
      <c r="H85" s="6"/>
      <c r="I85" s="2"/>
    </row>
    <row r="86" spans="1:9" x14ac:dyDescent="0.35">
      <c r="A86" s="5"/>
      <c r="B86" s="6"/>
      <c r="C86" s="2" t="s">
        <v>72</v>
      </c>
      <c r="D86" s="2"/>
      <c r="E86" s="2"/>
      <c r="F86" s="2">
        <v>188</v>
      </c>
      <c r="G86" s="6"/>
      <c r="H86" s="6"/>
      <c r="I86" s="2"/>
    </row>
    <row r="87" spans="1:9" x14ac:dyDescent="0.35">
      <c r="A87" s="5"/>
      <c r="B87" s="6"/>
      <c r="C87" s="2" t="s">
        <v>73</v>
      </c>
      <c r="D87" s="2"/>
      <c r="E87" s="2"/>
      <c r="F87" s="2">
        <v>196</v>
      </c>
      <c r="G87" s="6"/>
      <c r="H87" s="6"/>
      <c r="I87" s="2"/>
    </row>
    <row r="88" spans="1:9" x14ac:dyDescent="0.35">
      <c r="A88" s="1" t="s">
        <v>12</v>
      </c>
      <c r="B88" s="3" t="s">
        <v>40</v>
      </c>
      <c r="C88" s="3" t="s">
        <v>71</v>
      </c>
      <c r="D88" s="3" t="s">
        <v>98</v>
      </c>
      <c r="E88" s="3"/>
      <c r="F88" s="3">
        <v>412</v>
      </c>
      <c r="G88" s="3">
        <v>412</v>
      </c>
      <c r="H88" s="3">
        <v>412</v>
      </c>
      <c r="I88" s="3" t="s">
        <v>131</v>
      </c>
    </row>
    <row r="89" spans="1:9" x14ac:dyDescent="0.35">
      <c r="A89" s="5" t="s">
        <v>13</v>
      </c>
      <c r="B89" s="6" t="s">
        <v>41</v>
      </c>
      <c r="C89" s="2" t="s">
        <v>78</v>
      </c>
      <c r="D89" s="2" t="s">
        <v>99</v>
      </c>
      <c r="E89" s="2"/>
      <c r="F89" s="2">
        <v>453</v>
      </c>
      <c r="G89" s="6" t="e">
        <f ca="1">SUMMER(F88:F91)</f>
        <v>#NAME?</v>
      </c>
      <c r="H89" s="6" t="e">
        <f ca="1">SUMMER(G88:G102)</f>
        <v>#NAME?</v>
      </c>
      <c r="I89" s="2"/>
    </row>
    <row r="90" spans="1:9" x14ac:dyDescent="0.35">
      <c r="A90" s="5"/>
      <c r="B90" s="6"/>
      <c r="C90" s="2" t="s">
        <v>72</v>
      </c>
      <c r="D90" s="2"/>
      <c r="E90" s="2"/>
      <c r="F90" s="2">
        <v>188</v>
      </c>
      <c r="G90" s="6"/>
      <c r="H90" s="6"/>
      <c r="I90" s="2"/>
    </row>
    <row r="91" spans="1:9" x14ac:dyDescent="0.35">
      <c r="A91" s="5"/>
      <c r="B91" s="6"/>
      <c r="C91" s="2" t="s">
        <v>72</v>
      </c>
      <c r="D91" s="2"/>
      <c r="E91" s="2"/>
      <c r="F91" s="2">
        <v>188</v>
      </c>
      <c r="G91" s="6"/>
      <c r="H91" s="6"/>
      <c r="I91" s="2"/>
    </row>
    <row r="92" spans="1:9" x14ac:dyDescent="0.35">
      <c r="A92" s="5"/>
      <c r="B92" s="6"/>
      <c r="C92" s="2" t="s">
        <v>73</v>
      </c>
      <c r="D92" s="2" t="s">
        <v>99</v>
      </c>
      <c r="E92" s="2"/>
      <c r="F92" s="2">
        <v>227</v>
      </c>
      <c r="G92" s="6"/>
      <c r="H92" s="6"/>
      <c r="I92" s="2"/>
    </row>
    <row r="93" spans="1:9" x14ac:dyDescent="0.35">
      <c r="A93" s="5"/>
      <c r="B93" s="6" t="s">
        <v>42</v>
      </c>
      <c r="C93" s="2" t="s">
        <v>78</v>
      </c>
      <c r="D93" s="2" t="s">
        <v>100</v>
      </c>
      <c r="E93" s="2"/>
      <c r="F93" s="2">
        <v>453</v>
      </c>
      <c r="G93" s="6" t="e">
        <f ca="1">SUMMER(F92:F96)</f>
        <v>#NAME?</v>
      </c>
      <c r="H93" s="6"/>
      <c r="I93" s="2"/>
    </row>
    <row r="94" spans="1:9" x14ac:dyDescent="0.35">
      <c r="A94" s="5"/>
      <c r="B94" s="6"/>
      <c r="C94" s="2" t="s">
        <v>72</v>
      </c>
      <c r="D94" s="2"/>
      <c r="E94" s="2"/>
      <c r="F94" s="2">
        <v>188</v>
      </c>
      <c r="G94" s="6"/>
      <c r="H94" s="6"/>
      <c r="I94" s="2"/>
    </row>
    <row r="95" spans="1:9" x14ac:dyDescent="0.35">
      <c r="A95" s="5"/>
      <c r="B95" s="6"/>
      <c r="C95" s="2" t="s">
        <v>73</v>
      </c>
      <c r="D95" s="2" t="s">
        <v>100</v>
      </c>
      <c r="E95" s="2"/>
      <c r="F95" s="2">
        <v>227</v>
      </c>
      <c r="G95" s="6"/>
      <c r="H95" s="6"/>
      <c r="I95" s="2"/>
    </row>
    <row r="96" spans="1:9" x14ac:dyDescent="0.35">
      <c r="A96" s="5"/>
      <c r="B96" s="6"/>
      <c r="C96" s="2" t="s">
        <v>73</v>
      </c>
      <c r="D96" s="2" t="s">
        <v>100</v>
      </c>
      <c r="E96" s="2"/>
      <c r="F96" s="2">
        <v>227</v>
      </c>
      <c r="G96" s="6"/>
      <c r="H96" s="6"/>
      <c r="I96" s="2"/>
    </row>
    <row r="97" spans="1:9" x14ac:dyDescent="0.35">
      <c r="A97" s="5"/>
      <c r="B97" s="6"/>
      <c r="C97" s="2" t="s">
        <v>73</v>
      </c>
      <c r="D97" s="2" t="s">
        <v>100</v>
      </c>
      <c r="E97" s="2"/>
      <c r="F97" s="2">
        <v>227</v>
      </c>
      <c r="G97" s="6"/>
      <c r="H97" s="6"/>
      <c r="I97" s="2"/>
    </row>
    <row r="98" spans="1:9" x14ac:dyDescent="0.35">
      <c r="A98" s="5"/>
      <c r="B98" s="6" t="s">
        <v>43</v>
      </c>
      <c r="C98" s="2" t="s">
        <v>76</v>
      </c>
      <c r="D98" s="2" t="s">
        <v>101</v>
      </c>
      <c r="E98" s="2"/>
      <c r="F98" s="2">
        <v>367</v>
      </c>
      <c r="G98" s="6" t="e">
        <f ca="1">SUMMER(F97:F99)</f>
        <v>#NAME?</v>
      </c>
      <c r="H98" s="6"/>
      <c r="I98" s="2"/>
    </row>
    <row r="99" spans="1:9" x14ac:dyDescent="0.35">
      <c r="A99" s="5"/>
      <c r="B99" s="6"/>
      <c r="C99" s="2" t="s">
        <v>80</v>
      </c>
      <c r="D99" s="2"/>
      <c r="E99" s="2"/>
      <c r="F99" s="2">
        <v>279</v>
      </c>
      <c r="G99" s="6"/>
      <c r="H99" s="6"/>
      <c r="I99" s="2"/>
    </row>
    <row r="100" spans="1:9" x14ac:dyDescent="0.35">
      <c r="A100" s="5"/>
      <c r="B100" s="6"/>
      <c r="C100" s="2" t="s">
        <v>73</v>
      </c>
      <c r="D100" s="2" t="s">
        <v>101</v>
      </c>
      <c r="E100" s="2"/>
      <c r="F100" s="2">
        <v>227</v>
      </c>
      <c r="G100" s="6"/>
      <c r="H100" s="6"/>
      <c r="I100" s="2"/>
    </row>
    <row r="101" spans="1:9" x14ac:dyDescent="0.35">
      <c r="A101" s="5"/>
      <c r="B101" s="6" t="s">
        <v>44</v>
      </c>
      <c r="C101" s="2" t="s">
        <v>78</v>
      </c>
      <c r="D101" s="2" t="s">
        <v>102</v>
      </c>
      <c r="E101" s="2"/>
      <c r="F101" s="2">
        <v>453</v>
      </c>
      <c r="G101" s="6" t="e">
        <f ca="1">SUMMER(F100:F102)</f>
        <v>#NAME?</v>
      </c>
      <c r="H101" s="6"/>
      <c r="I101" s="2"/>
    </row>
    <row r="102" spans="1:9" x14ac:dyDescent="0.35">
      <c r="A102" s="5"/>
      <c r="B102" s="6"/>
      <c r="C102" s="2" t="s">
        <v>82</v>
      </c>
      <c r="D102" s="2"/>
      <c r="E102" s="2"/>
      <c r="F102" s="2">
        <v>179</v>
      </c>
      <c r="G102" s="6"/>
      <c r="H102" s="6"/>
      <c r="I102" s="2"/>
    </row>
    <row r="103" spans="1:9" x14ac:dyDescent="0.35">
      <c r="A103" s="5"/>
      <c r="B103" s="6"/>
      <c r="C103" s="2" t="s">
        <v>82</v>
      </c>
      <c r="D103" s="2"/>
      <c r="E103" s="2"/>
      <c r="F103" s="2">
        <v>179</v>
      </c>
      <c r="G103" s="6"/>
      <c r="H103" s="6"/>
      <c r="I103" s="2"/>
    </row>
    <row r="104" spans="1:9" x14ac:dyDescent="0.35">
      <c r="A104" s="5" t="s">
        <v>14</v>
      </c>
      <c r="B104" s="7" t="s">
        <v>45</v>
      </c>
      <c r="C104" s="3" t="s">
        <v>79</v>
      </c>
      <c r="D104" s="3" t="s">
        <v>103</v>
      </c>
      <c r="E104" s="3"/>
      <c r="F104" s="3">
        <v>335</v>
      </c>
      <c r="G104" s="7" t="e">
        <f ca="1">SUMMER(F103:F105)</f>
        <v>#NAME?</v>
      </c>
      <c r="H104" s="7" t="e">
        <f ca="1">SUMMER(G103:G105)</f>
        <v>#NAME?</v>
      </c>
      <c r="I104" s="3"/>
    </row>
    <row r="105" spans="1:9" x14ac:dyDescent="0.35">
      <c r="A105" s="5"/>
      <c r="B105" s="7"/>
      <c r="C105" s="3" t="s">
        <v>80</v>
      </c>
      <c r="D105" s="3"/>
      <c r="E105" s="3"/>
      <c r="F105" s="3">
        <v>279</v>
      </c>
      <c r="G105" s="7"/>
      <c r="H105" s="7"/>
      <c r="I105" s="3"/>
    </row>
    <row r="106" spans="1:9" x14ac:dyDescent="0.35">
      <c r="A106" s="5"/>
      <c r="B106" s="7"/>
      <c r="C106" s="3" t="s">
        <v>71</v>
      </c>
      <c r="D106" s="3" t="s">
        <v>103</v>
      </c>
      <c r="E106" s="3"/>
      <c r="F106" s="3">
        <v>412</v>
      </c>
      <c r="G106" s="7"/>
      <c r="H106" s="7"/>
      <c r="I106" s="3"/>
    </row>
    <row r="107" spans="1:9" x14ac:dyDescent="0.35">
      <c r="A107" s="5" t="s">
        <v>15</v>
      </c>
      <c r="B107" s="6" t="s">
        <v>46</v>
      </c>
      <c r="C107" s="2" t="s">
        <v>79</v>
      </c>
      <c r="D107" s="2" t="s">
        <v>104</v>
      </c>
      <c r="E107" s="2"/>
      <c r="F107" s="2">
        <v>335</v>
      </c>
      <c r="G107" s="6" t="e">
        <f ca="1">SUMMER(F106:F112)</f>
        <v>#NAME?</v>
      </c>
      <c r="H107" s="6" t="e">
        <f ca="1">SUMMER(G106:G117)</f>
        <v>#NAME?</v>
      </c>
      <c r="I107" s="2"/>
    </row>
    <row r="108" spans="1:9" x14ac:dyDescent="0.35">
      <c r="A108" s="5"/>
      <c r="B108" s="6"/>
      <c r="C108" s="2" t="s">
        <v>78</v>
      </c>
      <c r="D108" s="2" t="s">
        <v>104</v>
      </c>
      <c r="E108" s="2"/>
      <c r="F108" s="2">
        <v>453</v>
      </c>
      <c r="G108" s="6"/>
      <c r="H108" s="6"/>
      <c r="I108" s="2"/>
    </row>
    <row r="109" spans="1:9" x14ac:dyDescent="0.35">
      <c r="A109" s="5"/>
      <c r="B109" s="6"/>
      <c r="C109" s="2" t="s">
        <v>80</v>
      </c>
      <c r="D109" s="2"/>
      <c r="E109" s="2"/>
      <c r="F109" s="2">
        <v>279</v>
      </c>
      <c r="G109" s="6"/>
      <c r="H109" s="6"/>
      <c r="I109" s="2"/>
    </row>
    <row r="110" spans="1:9" x14ac:dyDescent="0.35">
      <c r="A110" s="5"/>
      <c r="B110" s="6"/>
      <c r="C110" s="2" t="s">
        <v>72</v>
      </c>
      <c r="D110" s="2"/>
      <c r="E110" s="2"/>
      <c r="F110" s="2">
        <v>188</v>
      </c>
      <c r="G110" s="6"/>
      <c r="H110" s="6"/>
      <c r="I110" s="2"/>
    </row>
    <row r="111" spans="1:9" x14ac:dyDescent="0.35">
      <c r="A111" s="5"/>
      <c r="B111" s="6"/>
      <c r="C111" s="2" t="s">
        <v>73</v>
      </c>
      <c r="D111" s="2" t="s">
        <v>104</v>
      </c>
      <c r="E111" s="2"/>
      <c r="F111" s="2">
        <v>227</v>
      </c>
      <c r="G111" s="6"/>
      <c r="H111" s="6"/>
      <c r="I111" s="2"/>
    </row>
    <row r="112" spans="1:9" x14ac:dyDescent="0.35">
      <c r="A112" s="5"/>
      <c r="B112" s="6"/>
      <c r="C112" s="2" t="s">
        <v>73</v>
      </c>
      <c r="D112" s="2" t="s">
        <v>104</v>
      </c>
      <c r="E112" s="2"/>
      <c r="F112" s="2">
        <v>227</v>
      </c>
      <c r="G112" s="6"/>
      <c r="H112" s="6"/>
      <c r="I112" s="2"/>
    </row>
    <row r="113" spans="1:9" x14ac:dyDescent="0.35">
      <c r="A113" s="5"/>
      <c r="B113" s="6"/>
      <c r="C113" s="2" t="s">
        <v>73</v>
      </c>
      <c r="D113" s="2" t="s">
        <v>104</v>
      </c>
      <c r="E113" s="2"/>
      <c r="F113" s="2">
        <v>227</v>
      </c>
      <c r="G113" s="6"/>
      <c r="H113" s="6"/>
      <c r="I113" s="2"/>
    </row>
    <row r="114" spans="1:9" x14ac:dyDescent="0.35">
      <c r="A114" s="5"/>
      <c r="B114" s="6" t="s">
        <v>47</v>
      </c>
      <c r="C114" s="2" t="s">
        <v>80</v>
      </c>
      <c r="D114" s="2"/>
      <c r="E114" s="2"/>
      <c r="F114" s="2">
        <v>279</v>
      </c>
      <c r="G114" s="6" t="e">
        <f ca="1">SUMMER(F113:F114)</f>
        <v>#NAME?</v>
      </c>
      <c r="H114" s="6"/>
      <c r="I114" s="2"/>
    </row>
    <row r="115" spans="1:9" x14ac:dyDescent="0.35">
      <c r="A115" s="5"/>
      <c r="B115" s="6"/>
      <c r="C115" s="2" t="s">
        <v>73</v>
      </c>
      <c r="D115" s="2" t="s">
        <v>105</v>
      </c>
      <c r="E115" s="2"/>
      <c r="F115" s="2">
        <v>227</v>
      </c>
      <c r="G115" s="6"/>
      <c r="H115" s="6"/>
      <c r="I115" s="2"/>
    </row>
    <row r="116" spans="1:9" x14ac:dyDescent="0.35">
      <c r="A116" s="5"/>
      <c r="B116" s="6" t="s">
        <v>48</v>
      </c>
      <c r="C116" s="2" t="s">
        <v>78</v>
      </c>
      <c r="D116" s="2" t="s">
        <v>106</v>
      </c>
      <c r="E116" s="2"/>
      <c r="F116" s="2">
        <v>453</v>
      </c>
      <c r="G116" s="6" t="e">
        <f ca="1">SUMMER(F115:F117)</f>
        <v>#NAME?</v>
      </c>
      <c r="H116" s="6"/>
      <c r="I116" s="2"/>
    </row>
    <row r="117" spans="1:9" x14ac:dyDescent="0.35">
      <c r="A117" s="5"/>
      <c r="B117" s="6"/>
      <c r="C117" s="2" t="s">
        <v>72</v>
      </c>
      <c r="D117" s="2"/>
      <c r="E117" s="2"/>
      <c r="F117" s="2">
        <v>188</v>
      </c>
      <c r="G117" s="6"/>
      <c r="H117" s="6"/>
      <c r="I117" s="2"/>
    </row>
    <row r="118" spans="1:9" x14ac:dyDescent="0.35">
      <c r="A118" s="5"/>
      <c r="B118" s="6"/>
      <c r="C118" s="2" t="s">
        <v>73</v>
      </c>
      <c r="D118" s="2" t="s">
        <v>106</v>
      </c>
      <c r="E118" s="2"/>
      <c r="F118" s="2">
        <v>227</v>
      </c>
      <c r="G118" s="6"/>
      <c r="H118" s="6"/>
      <c r="I118" s="2" t="s">
        <v>132</v>
      </c>
    </row>
    <row r="119" spans="1:9" x14ac:dyDescent="0.35">
      <c r="A119" s="5" t="s">
        <v>16</v>
      </c>
      <c r="B119" s="7" t="s">
        <v>49</v>
      </c>
      <c r="C119" s="3" t="s">
        <v>71</v>
      </c>
      <c r="D119" s="3"/>
      <c r="E119" s="3"/>
      <c r="F119" s="3">
        <v>351</v>
      </c>
      <c r="G119" s="7" t="e">
        <f ca="1">SUMMER(F118:F120)</f>
        <v>#NAME?</v>
      </c>
      <c r="H119" s="7" t="e">
        <f ca="1">SUMMER(G118:G140)</f>
        <v>#NAME?</v>
      </c>
      <c r="I119" s="3"/>
    </row>
    <row r="120" spans="1:9" x14ac:dyDescent="0.35">
      <c r="A120" s="5"/>
      <c r="B120" s="7"/>
      <c r="C120" s="3" t="s">
        <v>73</v>
      </c>
      <c r="D120" s="3"/>
      <c r="E120" s="3"/>
      <c r="F120" s="3">
        <v>196</v>
      </c>
      <c r="G120" s="7"/>
      <c r="H120" s="7"/>
      <c r="I120" s="3"/>
    </row>
    <row r="121" spans="1:9" x14ac:dyDescent="0.35">
      <c r="A121" s="5"/>
      <c r="B121" s="7"/>
      <c r="C121" s="3" t="s">
        <v>73</v>
      </c>
      <c r="D121" s="3"/>
      <c r="E121" s="3"/>
      <c r="F121" s="3">
        <v>196</v>
      </c>
      <c r="G121" s="7"/>
      <c r="H121" s="7"/>
      <c r="I121" s="3"/>
    </row>
    <row r="122" spans="1:9" x14ac:dyDescent="0.35">
      <c r="A122" s="5"/>
      <c r="B122" s="7" t="s">
        <v>50</v>
      </c>
      <c r="C122" s="3" t="s">
        <v>75</v>
      </c>
      <c r="D122" s="3" t="s">
        <v>107</v>
      </c>
      <c r="E122" s="3">
        <v>210</v>
      </c>
      <c r="F122" s="3">
        <v>243</v>
      </c>
      <c r="G122" s="7" t="e">
        <f ca="1">SUMMER(F121:F124)</f>
        <v>#NAME?</v>
      </c>
      <c r="H122" s="7"/>
      <c r="I122" s="3"/>
    </row>
    <row r="123" spans="1:9" x14ac:dyDescent="0.35">
      <c r="A123" s="5"/>
      <c r="B123" s="7"/>
      <c r="C123" s="3" t="s">
        <v>80</v>
      </c>
      <c r="D123" s="3"/>
      <c r="E123" s="3"/>
      <c r="F123" s="3">
        <v>279</v>
      </c>
      <c r="G123" s="7"/>
      <c r="H123" s="7"/>
      <c r="I123" s="3"/>
    </row>
    <row r="124" spans="1:9" x14ac:dyDescent="0.35">
      <c r="A124" s="5"/>
      <c r="B124" s="7"/>
      <c r="C124" s="3" t="s">
        <v>73</v>
      </c>
      <c r="D124" s="3" t="s">
        <v>107</v>
      </c>
      <c r="E124" s="3"/>
      <c r="F124" s="3">
        <v>227</v>
      </c>
      <c r="G124" s="7"/>
      <c r="H124" s="7"/>
      <c r="I124" s="3"/>
    </row>
    <row r="125" spans="1:9" x14ac:dyDescent="0.35">
      <c r="A125" s="5"/>
      <c r="B125" s="7"/>
      <c r="C125" s="3" t="s">
        <v>73</v>
      </c>
      <c r="D125" s="3" t="s">
        <v>107</v>
      </c>
      <c r="E125" s="3"/>
      <c r="F125" s="3">
        <v>227</v>
      </c>
      <c r="G125" s="7"/>
      <c r="H125" s="7"/>
      <c r="I125" s="3"/>
    </row>
    <row r="126" spans="1:9" x14ac:dyDescent="0.35">
      <c r="A126" s="5"/>
      <c r="B126" s="7" t="s">
        <v>51</v>
      </c>
      <c r="C126" s="3" t="s">
        <v>71</v>
      </c>
      <c r="D126" s="3"/>
      <c r="E126" s="3"/>
      <c r="F126" s="3">
        <v>351</v>
      </c>
      <c r="G126" s="7" t="e">
        <f ca="1">SUMMER(F125:F126)</f>
        <v>#NAME?</v>
      </c>
      <c r="H126" s="7"/>
      <c r="I126" s="3"/>
    </row>
    <row r="127" spans="1:9" x14ac:dyDescent="0.35">
      <c r="A127" s="5"/>
      <c r="B127" s="7"/>
      <c r="C127" s="3" t="s">
        <v>73</v>
      </c>
      <c r="D127" s="3"/>
      <c r="E127" s="3"/>
      <c r="F127" s="3">
        <v>196</v>
      </c>
      <c r="G127" s="7"/>
      <c r="H127" s="7"/>
      <c r="I127" s="3"/>
    </row>
    <row r="128" spans="1:9" x14ac:dyDescent="0.35">
      <c r="A128" s="5"/>
      <c r="B128" s="7" t="s">
        <v>52</v>
      </c>
      <c r="C128" s="3" t="s">
        <v>79</v>
      </c>
      <c r="D128" s="3" t="s">
        <v>108</v>
      </c>
      <c r="E128" s="3"/>
      <c r="F128" s="3">
        <v>335</v>
      </c>
      <c r="G128" s="7" t="e">
        <f ca="1">SUMMER(F127:F129)</f>
        <v>#NAME?</v>
      </c>
      <c r="H128" s="7"/>
      <c r="I128" s="3"/>
    </row>
    <row r="129" spans="1:9" x14ac:dyDescent="0.35">
      <c r="A129" s="5"/>
      <c r="B129" s="7"/>
      <c r="C129" s="3" t="s">
        <v>71</v>
      </c>
      <c r="D129" s="3" t="s">
        <v>108</v>
      </c>
      <c r="E129" s="3"/>
      <c r="F129" s="3">
        <v>412</v>
      </c>
      <c r="G129" s="7"/>
      <c r="H129" s="7"/>
      <c r="I129" s="3"/>
    </row>
    <row r="130" spans="1:9" x14ac:dyDescent="0.35">
      <c r="A130" s="5"/>
      <c r="B130" s="7"/>
      <c r="C130" s="3" t="s">
        <v>73</v>
      </c>
      <c r="D130" s="3"/>
      <c r="E130" s="3"/>
      <c r="F130" s="3">
        <v>196</v>
      </c>
      <c r="G130" s="7"/>
      <c r="H130" s="7"/>
      <c r="I130" s="3"/>
    </row>
    <row r="131" spans="1:9" x14ac:dyDescent="0.35">
      <c r="A131" s="5"/>
      <c r="B131" s="7" t="s">
        <v>53</v>
      </c>
      <c r="C131" s="3" t="s">
        <v>71</v>
      </c>
      <c r="D131" s="3" t="s">
        <v>109</v>
      </c>
      <c r="E131" s="3"/>
      <c r="F131" s="3">
        <v>412</v>
      </c>
      <c r="G131" s="7" t="e">
        <f ca="1">SUMMER(F130:F134)</f>
        <v>#NAME?</v>
      </c>
      <c r="H131" s="7"/>
      <c r="I131" s="3" t="s">
        <v>133</v>
      </c>
    </row>
    <row r="132" spans="1:9" x14ac:dyDescent="0.35">
      <c r="A132" s="5"/>
      <c r="B132" s="7"/>
      <c r="C132" s="3" t="s">
        <v>71</v>
      </c>
      <c r="D132" s="3" t="s">
        <v>109</v>
      </c>
      <c r="E132" s="3"/>
      <c r="F132" s="3">
        <v>412</v>
      </c>
      <c r="G132" s="7"/>
      <c r="H132" s="7"/>
      <c r="I132" s="3" t="s">
        <v>133</v>
      </c>
    </row>
    <row r="133" spans="1:9" x14ac:dyDescent="0.35">
      <c r="A133" s="5"/>
      <c r="B133" s="7"/>
      <c r="C133" s="3" t="s">
        <v>73</v>
      </c>
      <c r="D133" s="3" t="s">
        <v>109</v>
      </c>
      <c r="E133" s="3"/>
      <c r="F133" s="3">
        <v>227</v>
      </c>
      <c r="G133" s="7"/>
      <c r="H133" s="7"/>
      <c r="I133" s="3" t="s">
        <v>133</v>
      </c>
    </row>
    <row r="134" spans="1:9" x14ac:dyDescent="0.35">
      <c r="A134" s="5"/>
      <c r="B134" s="7"/>
      <c r="C134" s="3" t="s">
        <v>73</v>
      </c>
      <c r="D134" s="3" t="s">
        <v>109</v>
      </c>
      <c r="E134" s="3"/>
      <c r="F134" s="3">
        <v>227</v>
      </c>
      <c r="G134" s="7"/>
      <c r="H134" s="7"/>
      <c r="I134" s="3" t="s">
        <v>133</v>
      </c>
    </row>
    <row r="135" spans="1:9" x14ac:dyDescent="0.35">
      <c r="A135" s="5"/>
      <c r="B135" s="7"/>
      <c r="C135" s="3" t="s">
        <v>73</v>
      </c>
      <c r="D135" s="3" t="s">
        <v>109</v>
      </c>
      <c r="E135" s="3"/>
      <c r="F135" s="3">
        <v>227</v>
      </c>
      <c r="G135" s="7"/>
      <c r="H135" s="7"/>
      <c r="I135" s="3" t="s">
        <v>133</v>
      </c>
    </row>
    <row r="136" spans="1:9" x14ac:dyDescent="0.35">
      <c r="A136" s="5"/>
      <c r="B136" s="7" t="s">
        <v>54</v>
      </c>
      <c r="C136" s="3" t="s">
        <v>71</v>
      </c>
      <c r="D136" s="3" t="s">
        <v>110</v>
      </c>
      <c r="E136" s="3"/>
      <c r="F136" s="3">
        <v>412</v>
      </c>
      <c r="G136" s="7" t="e">
        <f ca="1">SUMMER(F135:F136)</f>
        <v>#NAME?</v>
      </c>
      <c r="H136" s="7"/>
      <c r="I136" s="3"/>
    </row>
    <row r="137" spans="1:9" x14ac:dyDescent="0.35">
      <c r="A137" s="5"/>
      <c r="B137" s="7"/>
      <c r="C137" s="3" t="s">
        <v>73</v>
      </c>
      <c r="D137" s="3" t="s">
        <v>110</v>
      </c>
      <c r="E137" s="3"/>
      <c r="F137" s="3">
        <v>227</v>
      </c>
      <c r="G137" s="7"/>
      <c r="H137" s="7"/>
      <c r="I137" s="3"/>
    </row>
    <row r="138" spans="1:9" x14ac:dyDescent="0.35">
      <c r="A138" s="5"/>
      <c r="B138" s="7" t="s">
        <v>55</v>
      </c>
      <c r="C138" s="3" t="s">
        <v>71</v>
      </c>
      <c r="D138" s="3"/>
      <c r="E138" s="3"/>
      <c r="F138" s="3">
        <v>351</v>
      </c>
      <c r="G138" s="7" t="e">
        <f ca="1">SUMMER(F137:F140)</f>
        <v>#NAME?</v>
      </c>
      <c r="H138" s="7"/>
      <c r="I138" s="3"/>
    </row>
    <row r="139" spans="1:9" x14ac:dyDescent="0.35">
      <c r="A139" s="5"/>
      <c r="B139" s="7"/>
      <c r="C139" s="3" t="s">
        <v>73</v>
      </c>
      <c r="D139" s="3"/>
      <c r="E139" s="3"/>
      <c r="F139" s="3">
        <v>196</v>
      </c>
      <c r="G139" s="7"/>
      <c r="H139" s="7"/>
      <c r="I139" s="3"/>
    </row>
    <row r="140" spans="1:9" x14ac:dyDescent="0.35">
      <c r="A140" s="5"/>
      <c r="B140" s="7"/>
      <c r="C140" s="3" t="s">
        <v>73</v>
      </c>
      <c r="D140" s="3"/>
      <c r="E140" s="3"/>
      <c r="F140" s="3">
        <v>196</v>
      </c>
      <c r="G140" s="7"/>
      <c r="H140" s="7"/>
      <c r="I140" s="3"/>
    </row>
    <row r="141" spans="1:9" x14ac:dyDescent="0.35">
      <c r="A141" s="5"/>
      <c r="B141" s="7"/>
      <c r="C141" s="3" t="s">
        <v>73</v>
      </c>
      <c r="D141" s="3"/>
      <c r="E141" s="3"/>
      <c r="F141" s="3">
        <v>196</v>
      </c>
      <c r="G141" s="7"/>
      <c r="H141" s="7"/>
      <c r="I141" s="3"/>
    </row>
    <row r="142" spans="1:9" x14ac:dyDescent="0.35">
      <c r="A142" s="5" t="s">
        <v>17</v>
      </c>
      <c r="B142" s="6" t="s">
        <v>56</v>
      </c>
      <c r="C142" s="2" t="s">
        <v>79</v>
      </c>
      <c r="D142" s="2" t="s">
        <v>111</v>
      </c>
      <c r="E142" s="2"/>
      <c r="F142" s="2">
        <v>335</v>
      </c>
      <c r="G142" s="6" t="e">
        <f ca="1">SUMMER(F141:F144)</f>
        <v>#NAME?</v>
      </c>
      <c r="H142" s="6" t="e">
        <f ca="1">SUMMER(G141:G153)</f>
        <v>#NAME?</v>
      </c>
      <c r="I142" s="2"/>
    </row>
    <row r="143" spans="1:9" x14ac:dyDescent="0.35">
      <c r="A143" s="5"/>
      <c r="B143" s="6"/>
      <c r="C143" s="2" t="s">
        <v>71</v>
      </c>
      <c r="D143" s="2" t="s">
        <v>111</v>
      </c>
      <c r="E143" s="2"/>
      <c r="F143" s="2">
        <v>412</v>
      </c>
      <c r="G143" s="6"/>
      <c r="H143" s="6"/>
      <c r="I143" s="2"/>
    </row>
    <row r="144" spans="1:9" x14ac:dyDescent="0.35">
      <c r="A144" s="5"/>
      <c r="B144" s="6"/>
      <c r="C144" s="2" t="s">
        <v>73</v>
      </c>
      <c r="D144" s="2" t="s">
        <v>111</v>
      </c>
      <c r="E144" s="2"/>
      <c r="F144" s="2">
        <v>227</v>
      </c>
      <c r="G144" s="6"/>
      <c r="H144" s="6"/>
      <c r="I144" s="2"/>
    </row>
    <row r="145" spans="1:9" x14ac:dyDescent="0.35">
      <c r="A145" s="5"/>
      <c r="B145" s="6"/>
      <c r="C145" s="2" t="s">
        <v>73</v>
      </c>
      <c r="D145" s="2" t="s">
        <v>111</v>
      </c>
      <c r="E145" s="2"/>
      <c r="F145" s="2">
        <v>227</v>
      </c>
      <c r="G145" s="6"/>
      <c r="H145" s="6"/>
      <c r="I145" s="2"/>
    </row>
    <row r="146" spans="1:9" x14ac:dyDescent="0.35">
      <c r="A146" s="5"/>
      <c r="B146" s="6" t="s">
        <v>57</v>
      </c>
      <c r="C146" s="2" t="s">
        <v>76</v>
      </c>
      <c r="D146" s="2" t="s">
        <v>112</v>
      </c>
      <c r="E146" s="2"/>
      <c r="F146" s="2">
        <v>367</v>
      </c>
      <c r="G146" s="6" t="e">
        <f ca="1">SUMMER(F145:F149)</f>
        <v>#NAME?</v>
      </c>
      <c r="H146" s="6"/>
      <c r="I146" s="2"/>
    </row>
    <row r="147" spans="1:9" x14ac:dyDescent="0.35">
      <c r="A147" s="5"/>
      <c r="B147" s="6"/>
      <c r="C147" s="2" t="s">
        <v>80</v>
      </c>
      <c r="D147" s="2"/>
      <c r="E147" s="2"/>
      <c r="F147" s="2">
        <v>279</v>
      </c>
      <c r="G147" s="6"/>
      <c r="H147" s="6"/>
      <c r="I147" s="2"/>
    </row>
    <row r="148" spans="1:9" x14ac:dyDescent="0.35">
      <c r="A148" s="5"/>
      <c r="B148" s="6"/>
      <c r="C148" s="2" t="s">
        <v>71</v>
      </c>
      <c r="D148" s="2" t="s">
        <v>112</v>
      </c>
      <c r="E148" s="2"/>
      <c r="F148" s="2">
        <v>412</v>
      </c>
      <c r="G148" s="6"/>
      <c r="H148" s="6"/>
      <c r="I148" s="2"/>
    </row>
    <row r="149" spans="1:9" x14ac:dyDescent="0.35">
      <c r="A149" s="5"/>
      <c r="B149" s="6"/>
      <c r="C149" s="2" t="s">
        <v>73</v>
      </c>
      <c r="D149" s="2" t="s">
        <v>113</v>
      </c>
      <c r="E149" s="2"/>
      <c r="F149" s="2">
        <v>227</v>
      </c>
      <c r="G149" s="6"/>
      <c r="H149" s="6"/>
      <c r="I149" s="2"/>
    </row>
    <row r="150" spans="1:9" x14ac:dyDescent="0.35">
      <c r="A150" s="5"/>
      <c r="B150" s="6"/>
      <c r="C150" s="2" t="s">
        <v>73</v>
      </c>
      <c r="D150" s="2" t="s">
        <v>113</v>
      </c>
      <c r="E150" s="2"/>
      <c r="F150" s="2">
        <v>227</v>
      </c>
      <c r="G150" s="6"/>
      <c r="H150" s="6"/>
      <c r="I150" s="2"/>
    </row>
    <row r="151" spans="1:9" x14ac:dyDescent="0.35">
      <c r="A151" s="5"/>
      <c r="B151" s="6" t="s">
        <v>58</v>
      </c>
      <c r="C151" s="2" t="s">
        <v>79</v>
      </c>
      <c r="D151" s="2" t="s">
        <v>114</v>
      </c>
      <c r="E151" s="2"/>
      <c r="F151" s="2">
        <v>335</v>
      </c>
      <c r="G151" s="6" t="e">
        <f ca="1">SUMMER(F150:F153)</f>
        <v>#NAME?</v>
      </c>
      <c r="H151" s="6"/>
      <c r="I151" s="2"/>
    </row>
    <row r="152" spans="1:9" x14ac:dyDescent="0.35">
      <c r="A152" s="5"/>
      <c r="B152" s="6"/>
      <c r="C152" s="2" t="s">
        <v>71</v>
      </c>
      <c r="D152" s="2" t="s">
        <v>114</v>
      </c>
      <c r="E152" s="2"/>
      <c r="F152" s="2">
        <v>412</v>
      </c>
      <c r="G152" s="6"/>
      <c r="H152" s="6"/>
      <c r="I152" s="2"/>
    </row>
    <row r="153" spans="1:9" x14ac:dyDescent="0.35">
      <c r="A153" s="5"/>
      <c r="B153" s="6"/>
      <c r="C153" s="2" t="s">
        <v>73</v>
      </c>
      <c r="D153" s="2" t="s">
        <v>114</v>
      </c>
      <c r="E153" s="2"/>
      <c r="F153" s="2">
        <v>227</v>
      </c>
      <c r="G153" s="6"/>
      <c r="H153" s="6"/>
      <c r="I153" s="2"/>
    </row>
    <row r="154" spans="1:9" x14ac:dyDescent="0.35">
      <c r="A154" s="5"/>
      <c r="B154" s="6"/>
      <c r="C154" s="2" t="s">
        <v>73</v>
      </c>
      <c r="D154" s="2" t="s">
        <v>114</v>
      </c>
      <c r="E154" s="2"/>
      <c r="F154" s="2">
        <v>227</v>
      </c>
      <c r="G154" s="6"/>
      <c r="H154" s="6"/>
      <c r="I154" s="2"/>
    </row>
    <row r="155" spans="1:9" x14ac:dyDescent="0.35">
      <c r="A155" s="5" t="s">
        <v>18</v>
      </c>
      <c r="B155" s="7" t="s">
        <v>59</v>
      </c>
      <c r="C155" s="3" t="s">
        <v>83</v>
      </c>
      <c r="D155" s="3"/>
      <c r="E155" s="3"/>
      <c r="F155" s="3">
        <v>321</v>
      </c>
      <c r="G155" s="7" t="e">
        <f ca="1">SUMMER(F154:F155)</f>
        <v>#NAME?</v>
      </c>
      <c r="H155" s="7" t="e">
        <f ca="1">SUMMER(G154:G155)</f>
        <v>#NAME?</v>
      </c>
      <c r="I155" s="3"/>
    </row>
    <row r="156" spans="1:9" x14ac:dyDescent="0.35">
      <c r="A156" s="5"/>
      <c r="B156" s="7"/>
      <c r="C156" s="3" t="s">
        <v>73</v>
      </c>
      <c r="D156" s="3" t="s">
        <v>115</v>
      </c>
      <c r="E156" s="3"/>
      <c r="F156" s="3">
        <v>227</v>
      </c>
      <c r="G156" s="7"/>
      <c r="H156" s="7"/>
      <c r="I156" s="3"/>
    </row>
    <row r="157" spans="1:9" x14ac:dyDescent="0.35">
      <c r="A157" s="5" t="s">
        <v>19</v>
      </c>
      <c r="B157" s="6" t="s">
        <v>60</v>
      </c>
      <c r="C157" s="2" t="s">
        <v>79</v>
      </c>
      <c r="D157" s="2" t="s">
        <v>116</v>
      </c>
      <c r="E157" s="2"/>
      <c r="F157" s="2">
        <v>335</v>
      </c>
      <c r="G157" s="6" t="e">
        <f ca="1">SUMMER(F156:F162)</f>
        <v>#NAME?</v>
      </c>
      <c r="H157" s="6" t="e">
        <f ca="1">SUMMER(G156:G162)</f>
        <v>#NAME?</v>
      </c>
      <c r="I157" s="2"/>
    </row>
    <row r="158" spans="1:9" x14ac:dyDescent="0.35">
      <c r="A158" s="5"/>
      <c r="B158" s="6"/>
      <c r="C158" s="2" t="s">
        <v>75</v>
      </c>
      <c r="D158" s="2" t="s">
        <v>116</v>
      </c>
      <c r="E158" s="2">
        <v>0</v>
      </c>
      <c r="F158" s="2">
        <v>453</v>
      </c>
      <c r="G158" s="6"/>
      <c r="H158" s="6"/>
      <c r="I158" s="2"/>
    </row>
    <row r="159" spans="1:9" x14ac:dyDescent="0.35">
      <c r="A159" s="5"/>
      <c r="B159" s="6"/>
      <c r="C159" s="2" t="s">
        <v>71</v>
      </c>
      <c r="D159" s="2" t="s">
        <v>116</v>
      </c>
      <c r="E159" s="2"/>
      <c r="F159" s="2">
        <v>412</v>
      </c>
      <c r="G159" s="6"/>
      <c r="H159" s="6"/>
      <c r="I159" s="2"/>
    </row>
    <row r="160" spans="1:9" x14ac:dyDescent="0.35">
      <c r="A160" s="5"/>
      <c r="B160" s="6"/>
      <c r="C160" s="2" t="s">
        <v>73</v>
      </c>
      <c r="D160" s="2"/>
      <c r="E160" s="2"/>
      <c r="F160" s="2">
        <v>196</v>
      </c>
      <c r="G160" s="6"/>
      <c r="H160" s="6"/>
      <c r="I160" s="2"/>
    </row>
    <row r="161" spans="1:9" x14ac:dyDescent="0.35">
      <c r="A161" s="5"/>
      <c r="B161" s="6"/>
      <c r="C161" s="2" t="s">
        <v>73</v>
      </c>
      <c r="D161" s="2"/>
      <c r="E161" s="2"/>
      <c r="F161" s="2">
        <v>196</v>
      </c>
      <c r="G161" s="6"/>
      <c r="H161" s="6"/>
      <c r="I161" s="2"/>
    </row>
    <row r="162" spans="1:9" x14ac:dyDescent="0.35">
      <c r="A162" s="5"/>
      <c r="B162" s="6"/>
      <c r="C162" s="2" t="s">
        <v>73</v>
      </c>
      <c r="D162" s="2"/>
      <c r="E162" s="2"/>
      <c r="F162" s="2">
        <v>196</v>
      </c>
      <c r="G162" s="6"/>
      <c r="H162" s="6"/>
      <c r="I162" s="2"/>
    </row>
    <row r="163" spans="1:9" x14ac:dyDescent="0.35">
      <c r="A163" s="5"/>
      <c r="B163" s="6"/>
      <c r="C163" s="2" t="s">
        <v>77</v>
      </c>
      <c r="D163" s="2"/>
      <c r="E163" s="2"/>
      <c r="F163" s="2">
        <v>193</v>
      </c>
      <c r="G163" s="6"/>
      <c r="H163" s="6"/>
      <c r="I163" s="2"/>
    </row>
    <row r="164" spans="1:9" x14ac:dyDescent="0.35">
      <c r="A164" s="5" t="s">
        <v>20</v>
      </c>
      <c r="B164" s="7" t="s">
        <v>61</v>
      </c>
      <c r="C164" s="3" t="s">
        <v>79</v>
      </c>
      <c r="D164" s="3" t="s">
        <v>117</v>
      </c>
      <c r="E164" s="3"/>
      <c r="F164" s="3">
        <v>335</v>
      </c>
      <c r="G164" s="7" t="e">
        <f ca="1">SUMMER(F163:F164)</f>
        <v>#NAME?</v>
      </c>
      <c r="H164" s="7" t="e">
        <f ca="1">SUMMER(G163:G164)</f>
        <v>#NAME?</v>
      </c>
      <c r="I164" s="3"/>
    </row>
    <row r="165" spans="1:9" x14ac:dyDescent="0.35">
      <c r="A165" s="5"/>
      <c r="B165" s="7"/>
      <c r="C165" s="3" t="s">
        <v>73</v>
      </c>
      <c r="D165" s="3" t="s">
        <v>117</v>
      </c>
      <c r="E165" s="3"/>
      <c r="F165" s="3">
        <v>227</v>
      </c>
      <c r="G165" s="7"/>
      <c r="H165" s="7"/>
      <c r="I165" s="3"/>
    </row>
    <row r="166" spans="1:9" x14ac:dyDescent="0.35">
      <c r="A166" s="5" t="s">
        <v>21</v>
      </c>
      <c r="B166" s="6" t="s">
        <v>62</v>
      </c>
      <c r="C166" s="2" t="s">
        <v>75</v>
      </c>
      <c r="D166" s="2" t="s">
        <v>118</v>
      </c>
      <c r="E166" s="2"/>
      <c r="F166" s="2">
        <v>453</v>
      </c>
      <c r="G166" s="6" t="e">
        <f ca="1">SUMMER(F165:F167)</f>
        <v>#NAME?</v>
      </c>
      <c r="H166" s="6" t="e">
        <f ca="1">SUMMER(G165:G170)</f>
        <v>#NAME?</v>
      </c>
      <c r="I166" s="2"/>
    </row>
    <row r="167" spans="1:9" x14ac:dyDescent="0.35">
      <c r="A167" s="5"/>
      <c r="B167" s="6"/>
      <c r="C167" s="2" t="s">
        <v>73</v>
      </c>
      <c r="D167" s="2" t="s">
        <v>118</v>
      </c>
      <c r="E167" s="2"/>
      <c r="F167" s="2">
        <v>227</v>
      </c>
      <c r="G167" s="6"/>
      <c r="H167" s="6"/>
      <c r="I167" s="2"/>
    </row>
    <row r="168" spans="1:9" x14ac:dyDescent="0.35">
      <c r="A168" s="5"/>
      <c r="B168" s="6"/>
      <c r="C168" s="2" t="s">
        <v>73</v>
      </c>
      <c r="D168" s="2" t="s">
        <v>118</v>
      </c>
      <c r="E168" s="2"/>
      <c r="F168" s="2">
        <v>227</v>
      </c>
      <c r="G168" s="6"/>
      <c r="H168" s="6"/>
      <c r="I168" s="2"/>
    </row>
    <row r="169" spans="1:9" x14ac:dyDescent="0.35">
      <c r="A169" s="5"/>
      <c r="B169" s="6" t="s">
        <v>63</v>
      </c>
      <c r="C169" s="2" t="s">
        <v>78</v>
      </c>
      <c r="D169" s="2" t="s">
        <v>119</v>
      </c>
      <c r="E169" s="2"/>
      <c r="F169" s="2">
        <v>453</v>
      </c>
      <c r="G169" s="6" t="e">
        <f ca="1">SUMMER(F168:F169)</f>
        <v>#NAME?</v>
      </c>
      <c r="H169" s="6"/>
      <c r="I169" s="2"/>
    </row>
    <row r="170" spans="1:9" x14ac:dyDescent="0.35">
      <c r="A170" s="5"/>
      <c r="B170" s="6"/>
      <c r="C170" s="2" t="s">
        <v>73</v>
      </c>
      <c r="D170" s="2" t="s">
        <v>119</v>
      </c>
      <c r="E170" s="2"/>
      <c r="F170" s="2">
        <v>227</v>
      </c>
      <c r="G170" s="6"/>
      <c r="H170" s="6"/>
      <c r="I170" s="2"/>
    </row>
    <row r="171" spans="1:9" x14ac:dyDescent="0.35">
      <c r="A171" s="5"/>
      <c r="B171" s="2" t="s">
        <v>64</v>
      </c>
      <c r="C171" s="2" t="s">
        <v>71</v>
      </c>
      <c r="D171" s="2"/>
      <c r="E171" s="2"/>
      <c r="F171" s="2">
        <v>351</v>
      </c>
      <c r="G171" s="2">
        <v>351</v>
      </c>
      <c r="H171" s="6"/>
      <c r="I171" s="2"/>
    </row>
    <row r="172" spans="1:9" x14ac:dyDescent="0.35">
      <c r="A172" s="5" t="s">
        <v>22</v>
      </c>
      <c r="B172" s="3" t="s">
        <v>65</v>
      </c>
      <c r="C172" s="3" t="s">
        <v>73</v>
      </c>
      <c r="D172" s="3" t="s">
        <v>120</v>
      </c>
      <c r="E172" s="3"/>
      <c r="F172" s="3">
        <v>227</v>
      </c>
      <c r="G172" s="3">
        <v>227</v>
      </c>
      <c r="H172" s="7" t="e">
        <f ca="1">SUMMER(G171:G183)</f>
        <v>#NAME?</v>
      </c>
      <c r="I172" s="3"/>
    </row>
    <row r="173" spans="1:9" x14ac:dyDescent="0.35">
      <c r="A173" s="5"/>
      <c r="B173" s="3" t="s">
        <v>66</v>
      </c>
      <c r="C173" s="3" t="s">
        <v>73</v>
      </c>
      <c r="D173" s="3" t="s">
        <v>121</v>
      </c>
      <c r="E173" s="3"/>
      <c r="F173" s="3">
        <v>227</v>
      </c>
      <c r="G173" s="3">
        <v>227</v>
      </c>
      <c r="H173" s="7"/>
      <c r="I173" s="3"/>
    </row>
    <row r="174" spans="1:9" x14ac:dyDescent="0.35">
      <c r="A174" s="5"/>
      <c r="B174" s="7" t="s">
        <v>67</v>
      </c>
      <c r="C174" s="3" t="s">
        <v>83</v>
      </c>
      <c r="D174" s="3"/>
      <c r="E174" s="3"/>
      <c r="F174" s="3">
        <v>321</v>
      </c>
      <c r="G174" s="7" t="e">
        <f ca="1">SUMMER(F173:F178)</f>
        <v>#NAME?</v>
      </c>
      <c r="H174" s="7"/>
      <c r="I174" s="3"/>
    </row>
    <row r="175" spans="1:9" x14ac:dyDescent="0.35">
      <c r="A175" s="5"/>
      <c r="B175" s="7"/>
      <c r="C175" s="3" t="s">
        <v>84</v>
      </c>
      <c r="D175" s="3"/>
      <c r="E175" s="3"/>
      <c r="F175" s="3">
        <v>259</v>
      </c>
      <c r="G175" s="7"/>
      <c r="H175" s="7"/>
      <c r="I175" s="3"/>
    </row>
    <row r="176" spans="1:9" x14ac:dyDescent="0.35">
      <c r="A176" s="5"/>
      <c r="B176" s="7"/>
      <c r="C176" s="3" t="s">
        <v>82</v>
      </c>
      <c r="D176" s="3"/>
      <c r="E176" s="3"/>
      <c r="F176" s="3">
        <v>179</v>
      </c>
      <c r="G176" s="7"/>
      <c r="H176" s="7"/>
      <c r="I176" s="3"/>
    </row>
    <row r="177" spans="1:9" x14ac:dyDescent="0.35">
      <c r="A177" s="5"/>
      <c r="B177" s="7"/>
      <c r="C177" s="3" t="s">
        <v>73</v>
      </c>
      <c r="D177" s="3" t="s">
        <v>122</v>
      </c>
      <c r="E177" s="3"/>
      <c r="F177" s="3">
        <v>227</v>
      </c>
      <c r="G177" s="7"/>
      <c r="H177" s="7"/>
      <c r="I177" s="3"/>
    </row>
    <row r="178" spans="1:9" x14ac:dyDescent="0.35">
      <c r="A178" s="5"/>
      <c r="B178" s="7"/>
      <c r="C178" s="3" t="s">
        <v>73</v>
      </c>
      <c r="D178" s="3" t="s">
        <v>122</v>
      </c>
      <c r="E178" s="3"/>
      <c r="F178" s="3">
        <v>227</v>
      </c>
      <c r="G178" s="7"/>
      <c r="H178" s="7"/>
      <c r="I178" s="3"/>
    </row>
    <row r="179" spans="1:9" x14ac:dyDescent="0.35">
      <c r="A179" s="5"/>
      <c r="B179" s="7"/>
      <c r="C179" s="3" t="s">
        <v>73</v>
      </c>
      <c r="D179" s="3" t="s">
        <v>122</v>
      </c>
      <c r="E179" s="3"/>
      <c r="F179" s="3">
        <v>227</v>
      </c>
      <c r="G179" s="7"/>
      <c r="H179" s="7"/>
      <c r="I179" s="3"/>
    </row>
    <row r="180" spans="1:9" x14ac:dyDescent="0.35">
      <c r="A180" s="5"/>
      <c r="B180" s="7" t="s">
        <v>68</v>
      </c>
      <c r="C180" s="3" t="s">
        <v>78</v>
      </c>
      <c r="D180" s="3"/>
      <c r="E180" s="3"/>
      <c r="F180" s="3">
        <v>422</v>
      </c>
      <c r="G180" s="7" t="e">
        <f ca="1">SUMMER(F179:F181)</f>
        <v>#NAME?</v>
      </c>
      <c r="H180" s="7"/>
      <c r="I180" s="3"/>
    </row>
    <row r="181" spans="1:9" x14ac:dyDescent="0.35">
      <c r="A181" s="5"/>
      <c r="B181" s="7"/>
      <c r="C181" s="3" t="s">
        <v>84</v>
      </c>
      <c r="D181" s="3"/>
      <c r="E181" s="3"/>
      <c r="F181" s="3">
        <v>259</v>
      </c>
      <c r="G181" s="7"/>
      <c r="H181" s="7"/>
      <c r="I181" s="3"/>
    </row>
    <row r="182" spans="1:9" x14ac:dyDescent="0.35">
      <c r="A182" s="5"/>
      <c r="B182" s="7"/>
      <c r="C182" s="3" t="s">
        <v>73</v>
      </c>
      <c r="D182" s="3"/>
      <c r="E182" s="3"/>
      <c r="F182" s="3">
        <v>196</v>
      </c>
      <c r="G182" s="7"/>
      <c r="H182" s="7"/>
      <c r="I182" s="3"/>
    </row>
    <row r="183" spans="1:9" x14ac:dyDescent="0.35">
      <c r="A183" s="5"/>
      <c r="B183" s="7" t="s">
        <v>69</v>
      </c>
      <c r="C183" s="3" t="s">
        <v>73</v>
      </c>
      <c r="D183" s="3" t="s">
        <v>123</v>
      </c>
      <c r="E183" s="3"/>
      <c r="F183" s="3">
        <v>227</v>
      </c>
      <c r="G183" s="7" t="e">
        <f ca="1">SUMMER(F182:F183)</f>
        <v>#NAME?</v>
      </c>
      <c r="H183" s="7"/>
      <c r="I183" s="3" t="s">
        <v>134</v>
      </c>
    </row>
    <row r="184" spans="1:9" x14ac:dyDescent="0.35">
      <c r="A184" s="5"/>
      <c r="B184" s="7"/>
      <c r="C184" s="3" t="s">
        <v>73</v>
      </c>
      <c r="D184" s="3" t="s">
        <v>123</v>
      </c>
      <c r="E184" s="3"/>
      <c r="F184" s="3">
        <v>227</v>
      </c>
      <c r="G184" s="7"/>
      <c r="H184" s="7"/>
      <c r="I184" s="3" t="s">
        <v>134</v>
      </c>
    </row>
    <row r="185" spans="1:9" x14ac:dyDescent="0.35">
      <c r="A185" s="5" t="s">
        <v>23</v>
      </c>
      <c r="B185" s="6" t="s">
        <v>70</v>
      </c>
      <c r="C185" s="2" t="s">
        <v>75</v>
      </c>
      <c r="D185" s="2" t="s">
        <v>124</v>
      </c>
      <c r="E185" s="2"/>
      <c r="F185" s="2">
        <v>453</v>
      </c>
      <c r="G185" s="6" t="e">
        <f ca="1">SUMMER(F184:F187)</f>
        <v>#NAME?</v>
      </c>
      <c r="H185" s="6" t="e">
        <f ca="1">SUMMER(G184:G187)</f>
        <v>#NAME?</v>
      </c>
      <c r="I185" s="2"/>
    </row>
    <row r="186" spans="1:9" x14ac:dyDescent="0.35">
      <c r="A186" s="5"/>
      <c r="B186" s="6"/>
      <c r="C186" s="2" t="s">
        <v>71</v>
      </c>
      <c r="D186" s="2" t="s">
        <v>124</v>
      </c>
      <c r="E186" s="2"/>
      <c r="F186" s="2">
        <v>412</v>
      </c>
      <c r="G186" s="6"/>
      <c r="H186" s="6"/>
      <c r="I186" s="2"/>
    </row>
    <row r="187" spans="1:9" x14ac:dyDescent="0.35">
      <c r="A187" s="5"/>
      <c r="B187" s="6"/>
      <c r="C187" s="2" t="s">
        <v>73</v>
      </c>
      <c r="D187" s="2"/>
      <c r="E187" s="2"/>
      <c r="F187" s="2">
        <v>196</v>
      </c>
      <c r="G187" s="6"/>
      <c r="H187" s="6"/>
      <c r="I187" s="2"/>
    </row>
    <row r="188" spans="1:9" x14ac:dyDescent="0.35">
      <c r="A188" s="5"/>
      <c r="B188" s="6"/>
      <c r="C188" s="2" t="s">
        <v>73</v>
      </c>
      <c r="D188" s="2"/>
      <c r="E188" s="2"/>
      <c r="F188" s="2">
        <v>196</v>
      </c>
      <c r="G188" s="6"/>
      <c r="H188" s="6"/>
      <c r="I188" s="2"/>
    </row>
  </sheetData>
  <mergeCells count="113">
    <mergeCell ref="B185:B188"/>
    <mergeCell ref="G185:G188"/>
    <mergeCell ref="B138:B141"/>
    <mergeCell ref="G138:G141"/>
    <mergeCell ref="B142:B145"/>
    <mergeCell ref="G142:G145"/>
    <mergeCell ref="B146:B150"/>
    <mergeCell ref="G146:G150"/>
    <mergeCell ref="B151:B154"/>
    <mergeCell ref="G151:G154"/>
    <mergeCell ref="B155:B156"/>
    <mergeCell ref="G155:G156"/>
    <mergeCell ref="B98:B100"/>
    <mergeCell ref="G98:G100"/>
    <mergeCell ref="B101:B103"/>
    <mergeCell ref="G101:G103"/>
    <mergeCell ref="B104:B106"/>
    <mergeCell ref="G104:G106"/>
    <mergeCell ref="B107:B113"/>
    <mergeCell ref="G107:G113"/>
    <mergeCell ref="B114:B115"/>
    <mergeCell ref="G114:G115"/>
    <mergeCell ref="B76:B79"/>
    <mergeCell ref="G76:G79"/>
    <mergeCell ref="B80:B84"/>
    <mergeCell ref="G80:G84"/>
    <mergeCell ref="B85:B87"/>
    <mergeCell ref="G85:G87"/>
    <mergeCell ref="B89:B92"/>
    <mergeCell ref="G89:G92"/>
    <mergeCell ref="B93:B97"/>
    <mergeCell ref="G93:G97"/>
    <mergeCell ref="G55:G58"/>
    <mergeCell ref="B59:B60"/>
    <mergeCell ref="G59:G60"/>
    <mergeCell ref="B61:B62"/>
    <mergeCell ref="G61:G62"/>
    <mergeCell ref="B63:B67"/>
    <mergeCell ref="G63:G67"/>
    <mergeCell ref="B68:B75"/>
    <mergeCell ref="G68:G75"/>
    <mergeCell ref="A157:A163"/>
    <mergeCell ref="H157:H163"/>
    <mergeCell ref="A164:A165"/>
    <mergeCell ref="H164:H165"/>
    <mergeCell ref="A166:A171"/>
    <mergeCell ref="H166:H171"/>
    <mergeCell ref="A172:A184"/>
    <mergeCell ref="H172:H184"/>
    <mergeCell ref="A185:A188"/>
    <mergeCell ref="H185:H188"/>
    <mergeCell ref="B157:B163"/>
    <mergeCell ref="G157:G163"/>
    <mergeCell ref="B164:B165"/>
    <mergeCell ref="G164:G165"/>
    <mergeCell ref="B166:B168"/>
    <mergeCell ref="G166:G168"/>
    <mergeCell ref="B169:B170"/>
    <mergeCell ref="G169:G170"/>
    <mergeCell ref="B174:B179"/>
    <mergeCell ref="G174:G179"/>
    <mergeCell ref="B180:B182"/>
    <mergeCell ref="G180:G182"/>
    <mergeCell ref="B183:B184"/>
    <mergeCell ref="G183:G184"/>
    <mergeCell ref="A104:A106"/>
    <mergeCell ref="H104:H106"/>
    <mergeCell ref="A107:A118"/>
    <mergeCell ref="H107:H118"/>
    <mergeCell ref="A119:A141"/>
    <mergeCell ref="H119:H141"/>
    <mergeCell ref="A142:A154"/>
    <mergeCell ref="H142:H154"/>
    <mergeCell ref="A155:A156"/>
    <mergeCell ref="H155:H156"/>
    <mergeCell ref="B116:B118"/>
    <mergeCell ref="G116:G118"/>
    <mergeCell ref="B119:B121"/>
    <mergeCell ref="G119:G121"/>
    <mergeCell ref="B122:B125"/>
    <mergeCell ref="G122:G125"/>
    <mergeCell ref="B126:B127"/>
    <mergeCell ref="G126:G127"/>
    <mergeCell ref="B128:B130"/>
    <mergeCell ref="G128:G130"/>
    <mergeCell ref="B131:B135"/>
    <mergeCell ref="G131:G135"/>
    <mergeCell ref="B136:B137"/>
    <mergeCell ref="G136:G137"/>
    <mergeCell ref="A1:I1"/>
    <mergeCell ref="A3:A40"/>
    <mergeCell ref="H3:H40"/>
    <mergeCell ref="A41:A75"/>
    <mergeCell ref="H41:H75"/>
    <mergeCell ref="A76:A87"/>
    <mergeCell ref="H76:H87"/>
    <mergeCell ref="A89:A103"/>
    <mergeCell ref="H89:H103"/>
    <mergeCell ref="B3:B11"/>
    <mergeCell ref="G3:G11"/>
    <mergeCell ref="B12:B18"/>
    <mergeCell ref="G12:G18"/>
    <mergeCell ref="B19:B21"/>
    <mergeCell ref="G19:G21"/>
    <mergeCell ref="B22:B26"/>
    <mergeCell ref="G22:G26"/>
    <mergeCell ref="B27:B34"/>
    <mergeCell ref="G27:G34"/>
    <mergeCell ref="B36:B40"/>
    <mergeCell ref="G36:G40"/>
    <mergeCell ref="B41:B54"/>
    <mergeCell ref="G41:G54"/>
    <mergeCell ref="B55:B5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Isak Anda</cp:lastModifiedBy>
  <dcterms:created xsi:type="dcterms:W3CDTF">2026-09-17T09:11:39Z</dcterms:created>
  <dcterms:modified xsi:type="dcterms:W3CDTF">2026-09-17T09:12:36Z</dcterms:modified>
</cp:coreProperties>
</file>